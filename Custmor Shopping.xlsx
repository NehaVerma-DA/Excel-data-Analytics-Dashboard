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c73be3f79db8e88/Desktop/"/>
    </mc:Choice>
  </mc:AlternateContent>
  <xr:revisionPtr revIDLastSave="2345" documentId="8_{C85F615F-39F6-42BE-A64D-A6A23ABFB368}" xr6:coauthVersionLast="47" xr6:coauthVersionMax="47" xr10:uidLastSave="{0C7AC1DA-472D-40E3-A66A-54BA8810DC98}"/>
  <bookViews>
    <workbookView xWindow="-108" yWindow="-108" windowWidth="23256" windowHeight="12456" activeTab="1" xr2:uid="{426ED162-716A-449F-8422-079564B2CCE5}"/>
  </bookViews>
  <sheets>
    <sheet name="shopping_behavior_updated" sheetId="2" r:id="rId1"/>
    <sheet name="Dashboard" sheetId="3" r:id="rId2"/>
  </sheets>
  <definedNames>
    <definedName name="Slicer_Category">#N/A</definedName>
    <definedName name="Slicer_Gender">#N/A</definedName>
    <definedName name="Slicer_Season">#N/A</definedName>
    <definedName name="Slicer_Size">#N/A</definedName>
  </definedNames>
  <calcPr calcId="191029"/>
  <pivotCaches>
    <pivotCache cacheId="13"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a="1"/>
  <c r="B15" i="2" s="1"/>
  <c r="T37" i="2" l="1"/>
  <c r="T36" i="2"/>
  <c r="T35" i="2"/>
  <c r="T34" i="2"/>
  <c r="S37" i="2"/>
  <c r="S36" i="2"/>
  <c r="S35" i="2"/>
  <c r="S34" i="2"/>
  <c r="J24" i="2" a="1"/>
  <c r="J24" i="2" s="1"/>
  <c r="N29" i="2"/>
  <c r="N28" i="2"/>
  <c r="N27" i="2"/>
  <c r="N26" i="2"/>
  <c r="N25" i="2"/>
  <c r="N24" i="2"/>
  <c r="M29" i="2"/>
  <c r="M28" i="2"/>
  <c r="M27" i="2"/>
  <c r="M26" i="2"/>
  <c r="M25" i="2"/>
  <c r="M24" i="2"/>
  <c r="L24" i="2"/>
  <c r="L29" i="2"/>
  <c r="L28" i="2"/>
  <c r="L27" i="2"/>
  <c r="L26" i="2"/>
  <c r="L25" i="2"/>
  <c r="AA20" i="2" l="1"/>
  <c r="AA19" i="2"/>
  <c r="AA18" i="2"/>
  <c r="AA17" i="2"/>
  <c r="Z20" i="2"/>
  <c r="Z19" i="2"/>
  <c r="Z18" i="2"/>
  <c r="Z17" i="2"/>
  <c r="O13" i="2"/>
  <c r="Q33" i="2" a="1"/>
  <c r="Q33" i="2" s="1"/>
  <c r="B34" i="2" a="1"/>
  <c r="B34" i="2" s="1"/>
  <c r="Y11" i="2"/>
  <c r="Y10" i="2"/>
  <c r="Y9" i="2"/>
  <c r="Y8" i="2"/>
  <c r="W16" i="2" l="1" a="1"/>
  <c r="W16" i="2" s="1"/>
  <c r="O14" i="2"/>
  <c r="N12" i="2" a="1"/>
  <c r="N12" i="2" s="1"/>
  <c r="G15" i="2" a="1"/>
  <c r="G4" i="2"/>
  <c r="G15" i="2" l="1"/>
  <c r="L18" i="2"/>
  <c r="L17" i="2"/>
  <c r="J19" i="2"/>
  <c r="L19" i="2"/>
  <c r="I18" i="2"/>
  <c r="I17" i="2"/>
  <c r="I16" i="2"/>
  <c r="I19" i="2"/>
  <c r="E19" i="2"/>
  <c r="E18" i="2"/>
  <c r="E17" i="2"/>
  <c r="E16" i="2"/>
  <c r="D19" i="2"/>
  <c r="D18" i="2"/>
  <c r="D17" i="2"/>
  <c r="D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DFED29-21DA-48EA-BC6E-FE6C068344DA}" keepAlive="1" name="Query - shopping_behavior_updated" description="Connection to the 'shopping_behavior_updated' query in the workbook." type="5" refreshedVersion="8" background="1">
    <dbPr connection="Provider=Microsoft.Mashup.OleDb.1;Data Source=$Workbook$;Location=shopping_behavior_updated;Extended Properties=&quot;&quot;" command="SELECT * FROM [shopping_behavior_updat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<sst xmlns="http://schemas.openxmlformats.org/spreadsheetml/2006/main" count="100" uniqueCount="63">
  <si>
    <t>Sum of Purchase Amount (USD)</t>
  </si>
  <si>
    <t>Total amount</t>
  </si>
  <si>
    <t>Total Custmor</t>
  </si>
  <si>
    <t>Count of Customer ID</t>
  </si>
  <si>
    <t>Count of Item Purchased</t>
  </si>
  <si>
    <t>Total Transiction</t>
  </si>
  <si>
    <t>Average of Review Rating</t>
  </si>
  <si>
    <t>Average Order Value</t>
  </si>
  <si>
    <t>Average of Previous Purchases</t>
  </si>
  <si>
    <t>Row Labels</t>
  </si>
  <si>
    <t>Accessories</t>
  </si>
  <si>
    <t>Clothing</t>
  </si>
  <si>
    <t>Footwear</t>
  </si>
  <si>
    <t>Outerwear</t>
  </si>
  <si>
    <t>Grand Total</t>
  </si>
  <si>
    <t>Count of Category</t>
  </si>
  <si>
    <t>Female</t>
  </si>
  <si>
    <t>Male</t>
  </si>
  <si>
    <t>% Revenue</t>
  </si>
  <si>
    <t>L</t>
  </si>
  <si>
    <t>M</t>
  </si>
  <si>
    <t>S</t>
  </si>
  <si>
    <t>XL</t>
  </si>
  <si>
    <t>Size%</t>
  </si>
  <si>
    <t>Max</t>
  </si>
  <si>
    <t>Min</t>
  </si>
  <si>
    <t>Backpack</t>
  </si>
  <si>
    <t>Gloves</t>
  </si>
  <si>
    <t>Jewelry</t>
  </si>
  <si>
    <t>Top 5 Product Performance</t>
  </si>
  <si>
    <t xml:space="preserve">Category Wise sales </t>
  </si>
  <si>
    <t>Below 5 Product Performance</t>
  </si>
  <si>
    <t>Bank Transfer</t>
  </si>
  <si>
    <t>Cash</t>
  </si>
  <si>
    <t>Credit Card</t>
  </si>
  <si>
    <t>Debit Card</t>
  </si>
  <si>
    <t>PayPal</t>
  </si>
  <si>
    <t>Venmo</t>
  </si>
  <si>
    <t>Payment Method</t>
  </si>
  <si>
    <t>Age Group Sales</t>
  </si>
  <si>
    <t>(All)</t>
  </si>
  <si>
    <t>0-18</t>
  </si>
  <si>
    <t>19-37</t>
  </si>
  <si>
    <t>38-56</t>
  </si>
  <si>
    <t>57-75</t>
  </si>
  <si>
    <t>Colour</t>
  </si>
  <si>
    <t>Spring</t>
  </si>
  <si>
    <t>Gender</t>
  </si>
  <si>
    <t>Gender Wise sales</t>
  </si>
  <si>
    <t>Size Wise Sales</t>
  </si>
  <si>
    <t>Mm</t>
  </si>
  <si>
    <t xml:space="preserve">Max </t>
  </si>
  <si>
    <t>Share %</t>
  </si>
  <si>
    <t>Winter</t>
  </si>
  <si>
    <t>Summer</t>
  </si>
  <si>
    <t>Fall</t>
  </si>
  <si>
    <t>Jeans</t>
  </si>
  <si>
    <t>Sneakers</t>
  </si>
  <si>
    <t>Hoodie</t>
  </si>
  <si>
    <t>Pants</t>
  </si>
  <si>
    <t>Dress</t>
  </si>
  <si>
    <t>Shirt</t>
  </si>
  <si>
    <t>Blouse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</si>
</sst>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4009]\ * #,##0.00_ ;_ [$₹-4009]\ * \-#,##0.00_ ;_ [$₹-4009]\ * &quot;-&quot;??_ ;_ @_ "/>
    <numFmt numFmtId="165" formatCode="_ * #,##0_ ;_ * \-#,##0_ ;_ * &quot;-&quot;??_ ;_ @_ "/>
    <numFmt numFmtId="166" formatCode="_ [$₹-4009]\ * #,##0_ ;_ [$₹-4009]\ * \-#,##0_ ;_ [$₹-4009]\ * &quot;-&quot;??_ ;_ @_ "/>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8"/>
      <color rgb="FF000000"/>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4"/>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23">
    <xf numFmtId="0" fontId="0" fillId="0" borderId="0" xfId="0"/>
    <xf numFmtId="0" fontId="1" fillId="0" borderId="0" xfId="0" applyFont="1"/>
    <xf numFmtId="2" fontId="0" fillId="0" borderId="0" xfId="0" applyNumberFormat="1"/>
    <xf numFmtId="1" fontId="0" fillId="0" borderId="0" xfId="0" applyNumberFormat="1"/>
    <xf numFmtId="0" fontId="1" fillId="2" borderId="0" xfId="0" applyFont="1" applyFill="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3" borderId="0" xfId="0" applyFill="1"/>
    <xf numFmtId="10" fontId="0" fillId="0" borderId="0" xfId="1" applyNumberFormat="1" applyFont="1"/>
    <xf numFmtId="0" fontId="4" fillId="4" borderId="0" xfId="0" applyFont="1" applyFill="1"/>
    <xf numFmtId="166" fontId="0" fillId="0" borderId="0" xfId="2" applyNumberFormat="1" applyFont="1"/>
    <xf numFmtId="0" fontId="3" fillId="0" borderId="0" xfId="0" applyFont="1" applyAlignment="1">
      <alignment horizontal="center"/>
    </xf>
    <xf numFmtId="0" fontId="4" fillId="0" borderId="0" xfId="0" applyFont="1"/>
    <xf numFmtId="0" fontId="3" fillId="0" borderId="0" xfId="0" applyFont="1"/>
    <xf numFmtId="9" fontId="0" fillId="0" borderId="0" xfId="1" applyFont="1"/>
    <xf numFmtId="165" fontId="0" fillId="0" borderId="0" xfId="2" applyNumberFormat="1" applyFont="1"/>
    <xf numFmtId="9" fontId="0" fillId="0" borderId="0" xfId="1" applyFont="1" applyBorder="1"/>
    <xf numFmtId="0" fontId="3" fillId="4" borderId="0" xfId="0" applyFont="1" applyFill="1"/>
    <xf numFmtId="0" fontId="3" fillId="4" borderId="0" xfId="0" applyFont="1" applyFill="1" applyAlignment="1">
      <alignment horizontal="center"/>
    </xf>
    <xf numFmtId="0" fontId="0" fillId="0" borderId="0" xfId="0" applyNumberFormat="1"/>
  </cellXfs>
  <cellStyles count="3">
    <cellStyle name="Comma" xfId="2" builtinId="3"/>
    <cellStyle name="Normal" xfId="0" builtinId="0"/>
    <cellStyle name="Percent" xfId="1" builtinId="5"/>
  </cellStyles>
  <dxfs count="57">
    <dxf>
      <numFmt numFmtId="165" formatCode="_ * #,##0_ ;_ * \-#,##0_ ;_ * &quot;-&quot;??_ ;_ @_ "/>
    </dxf>
    <dxf>
      <numFmt numFmtId="164" formatCode="_ [$₹-4009]\ * #,##0.00_ ;_ [$₹-4009]\ * \-#,##0.00_ ;_ [$₹-4009]\ * &quot;-&quot;??_ ;_ @_ "/>
    </dxf>
    <dxf>
      <numFmt numFmtId="164" formatCode="_ [$₹-4009]\ * #,##0.00_ ;_ [$₹-4009]\ * \-#,##0.00_ ;_ [$₹-4009]\ * &quot;-&quot;??_ ;_ @_ "/>
    </dxf>
    <dxf>
      <numFmt numFmtId="1" formatCode="0"/>
    </dxf>
    <dxf>
      <numFmt numFmtId="2" formatCode="0.00"/>
    </dxf>
    <dxf>
      <numFmt numFmtId="165" formatCode="_ * #,##0_ ;_ * \-#,##0_ ;_ * &quot;-&quot;??_ ;_ @_ "/>
    </dxf>
    <dxf>
      <numFmt numFmtId="165" formatCode="_ * #,##0_ ;_ * \-#,##0_ ;_ * &quot;-&quot;??_ ;_ @_ "/>
    </dxf>
    <dxf>
      <numFmt numFmtId="166" formatCode="_ [$₹-4009]\ * #,##0_ ;_ [$₹-4009]\ * \-#,##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 #,##0_ ;_ * \-#,##0_ ;_ * &quot;-&quot;??_ ;_ @_ "/>
    </dxf>
    <dxf>
      <numFmt numFmtId="164" formatCode="_ [$₹-4009]\ * #,##0.00_ ;_ [$₹-4009]\ * \-#,##0.00_ ;_ [$₹-4009]\ * &quot;-&quot;??_ ;_ @_ "/>
    </dxf>
    <dxf>
      <numFmt numFmtId="1" formatCode="0"/>
    </dxf>
    <dxf>
      <numFmt numFmtId="2" formatCode="0.00"/>
    </dxf>
    <dxf>
      <numFmt numFmtId="165" formatCode="_ * #,##0_ ;_ * \-#,##0_ ;_ * &quot;-&quot;??_ ;_ @_ "/>
    </dxf>
    <dxf>
      <numFmt numFmtId="165" formatCode="_ * #,##0_ ;_ * \-#,##0_ ;_ * &quot;-&quot;??_ ;_ @_ "/>
    </dxf>
    <dxf>
      <numFmt numFmtId="166" formatCode="_ [$₹-4009]\ * #,##0_ ;_ [$₹-4009]\ * \-#,##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 formatCode="0"/>
    </dxf>
    <dxf>
      <numFmt numFmtId="2" formatCode="0.00"/>
    </dxf>
    <dxf>
      <numFmt numFmtId="165" formatCode="_ * #,##0_ ;_ * \-#,##0_ ;_ * &quot;-&quot;??_ ;_ @_ "/>
    </dxf>
    <dxf>
      <numFmt numFmtId="165" formatCode="_ * #,##0_ ;_ * \-#,##0_ ;_ * &quot;-&quot;??_ ;_ @_ "/>
    </dxf>
    <dxf>
      <numFmt numFmtId="166" formatCode="_ [$₹-4009]\ * #,##0_ ;_ [$₹-4009]\ * \-#,##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 #,##0_ ;_ * \-#,##0_ ;_ * &quot;-&quot;??_ ;_ @_ "/>
    </dxf>
    <dxf>
      <numFmt numFmtId="166" formatCode="_ [$₹-4009]\ * #,##0_ ;_ [$₹-4009]\ * \-#,##0_ ;_ [$₹-4009]\ * &quot;-&quot;??_ ;_ @_ "/>
    </dxf>
    <dxf>
      <numFmt numFmtId="165" formatCode="_ * #,##0_ ;_ * \-#,##0_ ;_ * &quot;-&quot;??_ ;_ @_ "/>
    </dxf>
    <dxf>
      <numFmt numFmtId="165" formatCode="_ * #,##0_ ;_ * \-#,##0_ ;_ * &quot;-&quot;??_ ;_ @_ "/>
    </dxf>
    <dxf>
      <numFmt numFmtId="2" formatCode="0.00"/>
    </dxf>
    <dxf>
      <numFmt numFmtId="1" formatCode="0"/>
    </dxf>
    <dxf>
      <font>
        <b/>
        <color theme="1"/>
      </font>
      <border>
        <bottom style="thin">
          <color theme="9"/>
        </bottom>
        <vertical/>
        <horizontal/>
      </border>
    </dxf>
    <dxf>
      <font>
        <color theme="1"/>
      </font>
      <fill>
        <patternFill patternType="solid">
          <bgColor theme="2"/>
        </patternFill>
      </fill>
      <border diagonalUp="0" diagonalDown="0">
        <left/>
        <right/>
        <top/>
        <bottom/>
        <vertical/>
        <horizontal/>
      </border>
    </dxf>
    <dxf>
      <font>
        <b/>
        <color theme="1"/>
      </font>
      <border>
        <bottom style="thin">
          <color theme="9"/>
        </bottom>
        <vertical/>
        <horizontal/>
      </border>
    </dxf>
    <dxf>
      <font>
        <color theme="1"/>
      </font>
      <fill>
        <patternFill patternType="solid">
          <bgColor theme="2"/>
        </patternFill>
      </fill>
      <border diagonalUp="0" diagonalDown="0">
        <left/>
        <right/>
        <top/>
        <bottom/>
        <vertical/>
        <horizontal/>
      </border>
    </dxf>
    <dxf>
      <font>
        <b/>
        <color theme="1"/>
      </font>
      <border>
        <bottom style="thin">
          <color theme="9"/>
        </bottom>
        <vertical/>
        <horizontal/>
      </border>
    </dxf>
    <dxf>
      <font>
        <color theme="1"/>
      </font>
      <fill>
        <patternFill patternType="solid">
          <bgColor theme="0"/>
        </patternFill>
      </fill>
      <border diagonalUp="0" diagonalDown="0">
        <left/>
        <right/>
        <top/>
        <bottom/>
        <vertical/>
        <horizontal/>
      </border>
    </dxf>
    <dxf>
      <font>
        <b/>
        <color theme="1"/>
      </font>
      <border>
        <bottom style="thin">
          <color theme="6"/>
        </bottom>
        <vertical/>
        <horizontal/>
      </border>
    </dxf>
    <dxf>
      <font>
        <color theme="1"/>
      </font>
      <fill>
        <patternFill>
          <bgColor theme="2"/>
        </patternFill>
      </fill>
      <border diagonalUp="0" diagonalDown="0">
        <left/>
        <right/>
        <top/>
        <bottom/>
        <vertical/>
        <horizontal/>
      </border>
    </dxf>
    <dxf>
      <font>
        <b/>
        <color theme="1"/>
      </font>
      <border>
        <bottom style="thin">
          <color theme="4"/>
        </bottom>
        <vertical/>
        <horizontal/>
      </border>
    </dxf>
    <dxf>
      <font>
        <color theme="1"/>
      </font>
      <fill>
        <patternFill>
          <bgColor theme="2"/>
        </patternFill>
      </fill>
      <border diagonalUp="0" diagonalDown="0">
        <left/>
        <right/>
        <top/>
        <bottom/>
        <vertical/>
        <horizontal/>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2"/>
        </patternFill>
      </fill>
      <border diagonalUp="0" diagonalDown="0">
        <left/>
        <right/>
        <top/>
        <bottom/>
        <vertical/>
        <horizontal/>
      </border>
    </dxf>
  </dxfs>
  <tableStyles count="7" defaultTableStyle="TableStyleMedium2" defaultPivotStyle="PivotStyleLight16">
    <tableStyle name="SlicerStyleDark2 2" pivot="0" table="0" count="10" xr9:uid="{9CDB7077-DD71-4084-AB21-AA177FD11636}">
      <tableStyleElement type="wholeTable" dxfId="56"/>
      <tableStyleElement type="headerRow" dxfId="55"/>
    </tableStyle>
    <tableStyle name="SlicerStyleDark2 2 2" pivot="0" table="0" count="10" xr9:uid="{D2EB53F6-1971-4293-9095-60C0D813F54A}">
      <tableStyleElement type="wholeTable" dxfId="54"/>
      <tableStyleElement type="headerRow" dxfId="53"/>
    </tableStyle>
    <tableStyle name="SlicerStyleLight1 2" pivot="0" table="0" count="10" xr9:uid="{071AAF55-F14D-4A9E-8294-37B7FD40B312}">
      <tableStyleElement type="wholeTable" dxfId="52"/>
      <tableStyleElement type="headerRow" dxfId="51"/>
    </tableStyle>
    <tableStyle name="SlicerStyleLight3 2" pivot="0" table="0" count="10" xr9:uid="{774AD5C8-6DC6-401F-BE17-88798106E1FE}">
      <tableStyleElement type="wholeTable" dxfId="50"/>
      <tableStyleElement type="headerRow" dxfId="49"/>
    </tableStyle>
    <tableStyle name="SlicerStyleLight6 2" pivot="0" table="0" count="10" xr9:uid="{AE4EDDCE-FADA-4B37-A360-A88A4A67F24E}">
      <tableStyleElement type="wholeTable" dxfId="48"/>
      <tableStyleElement type="headerRow" dxfId="47"/>
    </tableStyle>
    <tableStyle name="SlicerStyleLight6 2 2" pivot="0" table="0" count="10" xr9:uid="{A3C0AA25-F887-4E2D-9B8C-79E31F364DBD}">
      <tableStyleElement type="wholeTable" dxfId="46"/>
      <tableStyleElement type="headerRow" dxfId="45"/>
    </tableStyle>
    <tableStyle name="SlicerStyleLight6 3" pivot="0" table="0" count="10" xr9:uid="{EBC2E242-1013-4317-8B3E-9059FC862761}">
      <tableStyleElement type="wholeTable" dxfId="44"/>
      <tableStyleElement type="headerRow" dxfId="43"/>
    </tableStyle>
  </tableStyle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5" Type="http://schemas.openxmlformats.org/officeDocument/2006/relationships/customXml" Target="../customXml/item1.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237595300587428"/>
          <c:y val="0.11419099304674618"/>
          <c:w val="0.51627952755905515"/>
          <c:h val="0.88537915124765754"/>
        </c:manualLayout>
      </c:layout>
      <c:barChart>
        <c:barDir val="bar"/>
        <c:grouping val="clustered"/>
        <c:varyColors val="0"/>
        <c:ser>
          <c:idx val="0"/>
          <c:order val="0"/>
          <c:tx>
            <c:strRef>
              <c:f>shopping_behavior_updated!$C$15</c:f>
              <c:strCache>
                <c:ptCount val="1"/>
                <c:pt idx="0">
                  <c:v>Sum of Purchase Amount (USD)</c:v>
                </c:pt>
              </c:strCache>
            </c:strRef>
          </c:tx>
          <c:spPr>
            <a:solidFill>
              <a:schemeClr val="accent1"/>
            </a:solidFill>
            <a:ln>
              <a:noFill/>
            </a:ln>
            <a:effectLst/>
          </c:spPr>
          <c:invertIfNegative val="0"/>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27E2-4696-BB4F-995480CF927E}"/>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6-27E2-4696-BB4F-995480CF927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shopping_behavior_updated!$B$16:$B$19</c15:sqref>
                  </c15:fullRef>
                </c:ext>
              </c:extLst>
              <c:f>shopping_behavior_updated!$B$16:$B$19</c:f>
              <c:strCache>
                <c:ptCount val="4"/>
                <c:pt idx="0">
                  <c:v>Outerwear</c:v>
                </c:pt>
                <c:pt idx="1">
                  <c:v>Footwear</c:v>
                </c:pt>
                <c:pt idx="2">
                  <c:v>Accessories</c:v>
                </c:pt>
                <c:pt idx="3">
                  <c:v>Clothing</c:v>
                </c:pt>
              </c:strCache>
            </c:strRef>
          </c:cat>
          <c:val>
            <c:numRef>
              <c:extLst>
                <c:ext xmlns:c15="http://schemas.microsoft.com/office/drawing/2012/chart" uri="{02D57815-91ED-43cb-92C2-25804820EDAC}">
                  <c15:fullRef>
                    <c15:sqref>shopping_behavior_updated!$C$16:$C$19</c15:sqref>
                  </c15:fullRef>
                </c:ext>
              </c:extLst>
              <c:f>shopping_behavior_updated!$C$16:$C$19</c:f>
              <c:numCache>
                <c:formatCode>General</c:formatCode>
                <c:ptCount val="4"/>
                <c:pt idx="0">
                  <c:v>18524</c:v>
                </c:pt>
                <c:pt idx="1">
                  <c:v>36093</c:v>
                </c:pt>
                <c:pt idx="2">
                  <c:v>74200</c:v>
                </c:pt>
                <c:pt idx="3">
                  <c:v>104264</c:v>
                </c:pt>
              </c:numCache>
            </c:numRef>
          </c:val>
          <c:extLst>
            <c:ext xmlns:c16="http://schemas.microsoft.com/office/drawing/2014/chart" uri="{C3380CC4-5D6E-409C-BE32-E72D297353CC}">
              <c16:uniqueId val="{00000000-A76B-4B19-A856-36B4250B7F77}"/>
            </c:ext>
          </c:extLst>
        </c:ser>
        <c:ser>
          <c:idx val="1"/>
          <c:order val="1"/>
          <c:tx>
            <c:strRef>
              <c:f>shopping_behavior_updated!$D$15</c:f>
              <c:strCache>
                <c:ptCount val="1"/>
                <c:pt idx="0">
                  <c:v>Max</c:v>
                </c:pt>
              </c:strCache>
            </c:strRef>
          </c:tx>
          <c:spPr>
            <a:solidFill>
              <a:schemeClr val="accent1"/>
            </a:solidFill>
            <a:ln>
              <a:noFill/>
            </a:ln>
            <a:effectLst/>
          </c:spPr>
          <c:invertIfNegative val="0"/>
          <c:dLbls>
            <c:delete val="1"/>
          </c:dLbls>
          <c:cat>
            <c:strLit>
              <c:ptCount val="4"/>
              <c:pt idx="0">
                <c:v>Outerwear</c:v>
              </c:pt>
              <c:pt idx="1">
                <c:v>Footwear</c:v>
              </c:pt>
              <c:pt idx="2">
                <c:v>Accessories</c:v>
              </c:pt>
              <c:pt idx="3">
                <c:v>Clothing</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shopping_behavior_updated!$D$16:$D$19</c15:sqref>
                  </c15:fullRef>
                </c:ext>
              </c:extLst>
              <c:f>shopping_behavior_updated!$D$16:$D$19</c:f>
              <c:numCache>
                <c:formatCode>General</c:formatCode>
                <c:ptCount val="4"/>
                <c:pt idx="0">
                  <c:v>0</c:v>
                </c:pt>
                <c:pt idx="1">
                  <c:v>0</c:v>
                </c:pt>
                <c:pt idx="2">
                  <c:v>0</c:v>
                </c:pt>
                <c:pt idx="3">
                  <c:v>104264</c:v>
                </c:pt>
              </c:numCache>
            </c:numRef>
          </c:val>
          <c:extLst>
            <c:ext xmlns:c16="http://schemas.microsoft.com/office/drawing/2014/chart" uri="{C3380CC4-5D6E-409C-BE32-E72D297353CC}">
              <c16:uniqueId val="{00000000-27E2-4696-BB4F-995480CF927E}"/>
            </c:ext>
          </c:extLst>
        </c:ser>
        <c:ser>
          <c:idx val="2"/>
          <c:order val="2"/>
          <c:tx>
            <c:strRef>
              <c:f>shopping_behavior_updated!$E$15</c:f>
              <c:strCache>
                <c:ptCount val="1"/>
                <c:pt idx="0">
                  <c:v>Min</c:v>
                </c:pt>
              </c:strCache>
            </c:strRef>
          </c:tx>
          <c:spPr>
            <a:solidFill>
              <a:schemeClr val="accent2"/>
            </a:solidFill>
            <a:ln>
              <a:noFill/>
            </a:ln>
            <a:effectLst/>
          </c:spPr>
          <c:invertIfNegative val="0"/>
          <c:dLbls>
            <c:delete val="1"/>
          </c:dLbls>
          <c:cat>
            <c:strLit>
              <c:ptCount val="4"/>
              <c:pt idx="0">
                <c:v>Outerwear</c:v>
              </c:pt>
              <c:pt idx="1">
                <c:v>Footwear</c:v>
              </c:pt>
              <c:pt idx="2">
                <c:v>Accessories</c:v>
              </c:pt>
              <c:pt idx="3">
                <c:v>Clothing</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shopping_behavior_updated!$E$16:$E$20</c15:sqref>
                  </c15:fullRef>
                </c:ext>
              </c:extLst>
              <c:f>shopping_behavior_updated!$E$16:$E$19</c:f>
              <c:numCache>
                <c:formatCode>General</c:formatCode>
                <c:ptCount val="4"/>
                <c:pt idx="0">
                  <c:v>18524</c:v>
                </c:pt>
                <c:pt idx="1">
                  <c:v>0</c:v>
                </c:pt>
                <c:pt idx="2">
                  <c:v>0</c:v>
                </c:pt>
                <c:pt idx="3">
                  <c:v>0</c:v>
                </c:pt>
              </c:numCache>
            </c:numRef>
          </c:val>
          <c:extLst>
            <c:ext xmlns:c16="http://schemas.microsoft.com/office/drawing/2014/chart" uri="{C3380CC4-5D6E-409C-BE32-E72D297353CC}">
              <c16:uniqueId val="{00000001-27E2-4696-BB4F-995480CF927E}"/>
            </c:ext>
          </c:extLst>
        </c:ser>
        <c:dLbls>
          <c:dLblPos val="outEnd"/>
          <c:showLegendKey val="0"/>
          <c:showVal val="1"/>
          <c:showCatName val="0"/>
          <c:showSerName val="0"/>
          <c:showPercent val="0"/>
          <c:showBubbleSize val="0"/>
        </c:dLbls>
        <c:gapWidth val="102"/>
        <c:overlap val="100"/>
        <c:axId val="360515552"/>
        <c:axId val="565817552"/>
      </c:barChart>
      <c:catAx>
        <c:axId val="36051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65817552"/>
        <c:crosses val="autoZero"/>
        <c:auto val="1"/>
        <c:lblAlgn val="ctr"/>
        <c:lblOffset val="100"/>
        <c:noMultiLvlLbl val="0"/>
      </c:catAx>
      <c:valAx>
        <c:axId val="565817552"/>
        <c:scaling>
          <c:orientation val="minMax"/>
        </c:scaling>
        <c:delete val="1"/>
        <c:axPos val="b"/>
        <c:numFmt formatCode="General" sourceLinked="1"/>
        <c:majorTickMark val="none"/>
        <c:minorTickMark val="none"/>
        <c:tickLblPos val="nextTo"/>
        <c:crossAx val="3605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35048980219048E-2"/>
          <c:y val="0.12981552725032028"/>
          <c:w val="0.92504519130497009"/>
          <c:h val="0.87018447274967958"/>
        </c:manualLayout>
      </c:layout>
      <c:barChart>
        <c:barDir val="bar"/>
        <c:grouping val="clustered"/>
        <c:varyColors val="0"/>
        <c:ser>
          <c:idx val="0"/>
          <c:order val="0"/>
          <c:tx>
            <c:v>Series1</c:v>
          </c:tx>
          <c:spPr>
            <a:solidFill>
              <a:schemeClr val="accent1"/>
            </a:solidFill>
            <a:ln>
              <a:noFill/>
            </a:ln>
            <a:effectLst/>
          </c:spPr>
          <c:invertIfNegative val="0"/>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B-6A3F-4FD1-8C6A-19CC50BB8D46}"/>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A-6A3F-4FD1-8C6A-19CC50BB8D46}"/>
              </c:ext>
            </c:extLst>
          </c:dPt>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25-4E13-8FE0-794B939DE7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c:v>
              </c:pt>
              <c:pt idx="1">
                <c:v>2</c:v>
              </c:pt>
              <c:pt idx="2">
                <c:v>3</c:v>
              </c:pt>
              <c:pt idx="3">
                <c:v>4</c:v>
              </c:pt>
            </c:strLit>
          </c:cat>
          <c:val>
            <c:numLit>
              <c:formatCode>General</c:formatCode>
              <c:ptCount val="4"/>
              <c:pt idx="0">
                <c:v>324</c:v>
              </c:pt>
              <c:pt idx="1">
                <c:v>599</c:v>
              </c:pt>
              <c:pt idx="2">
                <c:v>1240</c:v>
              </c:pt>
              <c:pt idx="3">
                <c:v>1737</c:v>
              </c:pt>
            </c:numLit>
          </c:val>
          <c:extLst>
            <c:ext xmlns:c16="http://schemas.microsoft.com/office/drawing/2014/chart" uri="{C3380CC4-5D6E-409C-BE32-E72D297353CC}">
              <c16:uniqueId val="{00000000-7B41-44C7-AE8D-51E8F91E5C84}"/>
            </c:ext>
          </c:extLst>
        </c:ser>
        <c:ser>
          <c:idx val="1"/>
          <c:order val="1"/>
          <c:tx>
            <c:strRef>
              <c:f>shopping_behavior_updated!$I$15</c:f>
              <c:strCache>
                <c:ptCount val="1"/>
                <c:pt idx="0">
                  <c:v>Max</c:v>
                </c:pt>
              </c:strCache>
            </c:strRef>
          </c:tx>
          <c:spPr>
            <a:solidFill>
              <a:schemeClr val="accent1"/>
            </a:solidFill>
            <a:ln>
              <a:noFill/>
            </a:ln>
            <a:effectLst/>
          </c:spPr>
          <c:invertIfNegative val="0"/>
          <c:val>
            <c:numRef>
              <c:f>shopping_behavior_updated!$I$16:$I$19</c:f>
              <c:numCache>
                <c:formatCode>General</c:formatCode>
                <c:ptCount val="4"/>
                <c:pt idx="0">
                  <c:v>0</c:v>
                </c:pt>
                <c:pt idx="1">
                  <c:v>0</c:v>
                </c:pt>
                <c:pt idx="2">
                  <c:v>0</c:v>
                </c:pt>
                <c:pt idx="3">
                  <c:v>1737</c:v>
                </c:pt>
              </c:numCache>
            </c:numRef>
          </c:val>
          <c:extLst>
            <c:ext xmlns:c16="http://schemas.microsoft.com/office/drawing/2014/chart" uri="{C3380CC4-5D6E-409C-BE32-E72D297353CC}">
              <c16:uniqueId val="{00000007-6A3F-4FD1-8C6A-19CC50BB8D46}"/>
            </c:ext>
          </c:extLst>
        </c:ser>
        <c:ser>
          <c:idx val="2"/>
          <c:order val="2"/>
          <c:tx>
            <c:strRef>
              <c:f>shopping_behavior_updated!$L$15</c:f>
              <c:strCache>
                <c:ptCount val="1"/>
              </c:strCache>
            </c:strRef>
          </c:tx>
          <c:spPr>
            <a:solidFill>
              <a:schemeClr val="accent2"/>
            </a:solidFill>
            <a:ln>
              <a:noFill/>
            </a:ln>
            <a:effectLst/>
          </c:spPr>
          <c:invertIfNegative val="0"/>
          <c:val>
            <c:numRef>
              <c:f>shopping_behavior_updated!$L$16:$L$19</c:f>
              <c:numCache>
                <c:formatCode>General</c:formatCode>
                <c:ptCount val="4"/>
                <c:pt idx="1">
                  <c:v>0</c:v>
                </c:pt>
                <c:pt idx="2">
                  <c:v>0</c:v>
                </c:pt>
                <c:pt idx="3">
                  <c:v>0</c:v>
                </c:pt>
              </c:numCache>
            </c:numRef>
          </c:val>
          <c:extLst>
            <c:ext xmlns:c16="http://schemas.microsoft.com/office/drawing/2014/chart" uri="{C3380CC4-5D6E-409C-BE32-E72D297353CC}">
              <c16:uniqueId val="{00000008-6A3F-4FD1-8C6A-19CC50BB8D46}"/>
            </c:ext>
          </c:extLst>
        </c:ser>
        <c:dLbls>
          <c:showLegendKey val="0"/>
          <c:showVal val="0"/>
          <c:showCatName val="0"/>
          <c:showSerName val="0"/>
          <c:showPercent val="0"/>
          <c:showBubbleSize val="0"/>
        </c:dLbls>
        <c:gapWidth val="102"/>
        <c:overlap val="100"/>
        <c:axId val="577576352"/>
        <c:axId val="386757776"/>
      </c:barChart>
      <c:catAx>
        <c:axId val="577576352"/>
        <c:scaling>
          <c:orientation val="minMax"/>
        </c:scaling>
        <c:delete val="1"/>
        <c:axPos val="r"/>
        <c:numFmt formatCode="General" sourceLinked="1"/>
        <c:majorTickMark val="none"/>
        <c:minorTickMark val="none"/>
        <c:tickLblPos val="nextTo"/>
        <c:crossAx val="386757776"/>
        <c:crosses val="autoZero"/>
        <c:auto val="1"/>
        <c:lblAlgn val="ctr"/>
        <c:lblOffset val="100"/>
        <c:noMultiLvlLbl val="0"/>
      </c:catAx>
      <c:valAx>
        <c:axId val="386757776"/>
        <c:scaling>
          <c:orientation val="maxMin"/>
        </c:scaling>
        <c:delete val="1"/>
        <c:axPos val="b"/>
        <c:numFmt formatCode="General" sourceLinked="1"/>
        <c:majorTickMark val="none"/>
        <c:minorTickMark val="none"/>
        <c:tickLblPos val="nextTo"/>
        <c:crossAx val="57757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407188510809132E-2"/>
          <c:y val="6.4301545557687217E-2"/>
          <c:w val="0.92359281148919092"/>
          <c:h val="0.70591452151034695"/>
        </c:manualLayout>
      </c:layout>
      <c:barChart>
        <c:barDir val="col"/>
        <c:grouping val="clustered"/>
        <c:varyColors val="0"/>
        <c:ser>
          <c:idx val="0"/>
          <c:order val="0"/>
          <c:spPr>
            <a:solidFill>
              <a:schemeClr val="accent2">
                <a:lumMod val="40000"/>
                <a:lumOff val="60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4535-4DB3-8BF4-8E5E9042B82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shopping_behavior_updated!$W$17:$W$20</c:f>
              <c:strCache>
                <c:ptCount val="4"/>
                <c:pt idx="0">
                  <c:v>XL</c:v>
                </c:pt>
                <c:pt idx="1">
                  <c:v>S</c:v>
                </c:pt>
                <c:pt idx="2">
                  <c:v>L</c:v>
                </c:pt>
                <c:pt idx="3">
                  <c:v>M</c:v>
                </c:pt>
              </c:strCache>
            </c:strRef>
          </c:cat>
          <c:val>
            <c:numRef>
              <c:f>shopping_behavior_updated!$X$17:$X$20</c:f>
              <c:numCache>
                <c:formatCode>_ * #,##0_ ;_ * \-#,##0_ ;_ * "-"??_ ;_ @_ </c:formatCode>
                <c:ptCount val="4"/>
                <c:pt idx="0">
                  <c:v>25779</c:v>
                </c:pt>
                <c:pt idx="1">
                  <c:v>40468</c:v>
                </c:pt>
                <c:pt idx="2">
                  <c:v>61667</c:v>
                </c:pt>
                <c:pt idx="3">
                  <c:v>105167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142A-486A-97AC-A0AB0D0FA02D}"/>
            </c:ext>
          </c:extLst>
        </c:ser>
        <c:ser>
          <c:idx val="1"/>
          <c:order val="1"/>
          <c:spPr>
            <a:solidFill>
              <a:schemeClr val="accent2"/>
            </a:solidFill>
            <a:ln>
              <a:noFill/>
            </a:ln>
            <a:effectLst/>
          </c:spPr>
          <c:invertIfNegative val="0"/>
          <c:cat>
            <c:strRef>
              <c:f>shopping_behavior_updated!$W$17:$W$20</c:f>
              <c:strCache>
                <c:ptCount val="4"/>
                <c:pt idx="0">
                  <c:v>XL</c:v>
                </c:pt>
                <c:pt idx="1">
                  <c:v>S</c:v>
                </c:pt>
                <c:pt idx="2">
                  <c:v>L</c:v>
                </c:pt>
                <c:pt idx="3">
                  <c:v>M</c:v>
                </c:pt>
              </c:strCache>
            </c:strRef>
          </c:cat>
          <c:val>
            <c:numRef>
              <c:f>shopping_behavior_updated!$Y$17:$Y$20</c:f>
              <c:numCache>
                <c:formatCode>0.00%</c:formatCode>
                <c:ptCount val="4"/>
                <c:pt idx="0">
                  <c:v>0.11060103569145491</c:v>
                </c:pt>
                <c:pt idx="1">
                  <c:v>0.17362204555497873</c:v>
                </c:pt>
                <c:pt idx="2">
                  <c:v>0.26457325993967762</c:v>
                </c:pt>
                <c:pt idx="3">
                  <c:v>0.45120365881388874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142A-486A-97AC-A0AB0D0FA02D}"/>
            </c:ext>
          </c:extLst>
        </c:ser>
        <c:ser>
          <c:idx val="2"/>
          <c:order val="2"/>
          <c:spPr>
            <a:solidFill>
              <a:schemeClr val="accent3"/>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2-4535-4DB3-8BF4-8E5E9042B826}"/>
              </c:ext>
            </c:extLst>
          </c:dPt>
          <c:val>
            <c:numRef>
              <c:f>shopping_behavior_updated!$Z$17:$Z$20</c:f>
              <c:numCache>
                <c:formatCode>General</c:formatCode>
                <c:ptCount val="4"/>
                <c:pt idx="0">
                  <c:v>0</c:v>
                </c:pt>
                <c:pt idx="1">
                  <c:v>0</c:v>
                </c:pt>
                <c:pt idx="2">
                  <c:v>0</c:v>
                </c:pt>
                <c:pt idx="3">
                  <c:v>105167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4535-4DB3-8BF4-8E5E9042B826}"/>
            </c:ext>
          </c:extLst>
        </c:ser>
        <c:dLbls>
          <c:showLegendKey val="0"/>
          <c:showVal val="0"/>
          <c:showCatName val="0"/>
          <c:showSerName val="0"/>
          <c:showPercent val="0"/>
          <c:showBubbleSize val="0"/>
        </c:dLbls>
        <c:gapWidth val="137"/>
        <c:overlap val="100"/>
        <c:axId val="1203842911"/>
        <c:axId val="1050438671"/>
      </c:barChart>
      <c:catAx>
        <c:axId val="120384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50438671"/>
        <c:crosses val="autoZero"/>
        <c:auto val="1"/>
        <c:lblAlgn val="ctr"/>
        <c:lblOffset val="100"/>
        <c:noMultiLvlLbl val="0"/>
      </c:catAx>
      <c:valAx>
        <c:axId val="1050438671"/>
        <c:scaling>
          <c:orientation val="minMax"/>
        </c:scaling>
        <c:delete val="1"/>
        <c:axPos val="l"/>
        <c:numFmt formatCode="_ * #,##0_ ;_ * \-#,##0_ ;_ * &quot;-&quot;??_ ;_ @_ " sourceLinked="1"/>
        <c:majorTickMark val="none"/>
        <c:minorTickMark val="none"/>
        <c:tickLblPos val="nextTo"/>
        <c:crossAx val="12038429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899953653874874E-2"/>
          <c:y val="0.27345948387443147"/>
          <c:w val="0.86658313686294575"/>
          <c:h val="0.54118839311752698"/>
        </c:manualLayout>
      </c:layout>
      <c:barChart>
        <c:barDir val="col"/>
        <c:grouping val="stacked"/>
        <c:varyColors val="0"/>
        <c:ser>
          <c:idx val="0"/>
          <c:order val="0"/>
          <c:spPr>
            <a:solidFill>
              <a:schemeClr val="accent1"/>
            </a:solidFill>
            <a:ln>
              <a:noFill/>
            </a:ln>
            <a:effectLst/>
          </c:spPr>
          <c:invertIfNegative val="0"/>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0-6A68-4AF2-BBF5-81612BF5A3F4}"/>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1-6A68-4AF2-BBF5-81612BF5A3F4}"/>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2-6A68-4AF2-BBF5-81612BF5A3F4}"/>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3-6A68-4AF2-BBF5-81612BF5A3F4}"/>
              </c:ext>
            </c:extLst>
          </c:dPt>
          <c:cat>
            <c:strRef>
              <c:f>shopping_behavior_updated!$J$24:$J$29</c:f>
              <c:strCache>
                <c:ptCount val="6"/>
                <c:pt idx="0">
                  <c:v> Bank Transfer </c:v>
                </c:pt>
                <c:pt idx="1">
                  <c:v> Venmo </c:v>
                </c:pt>
                <c:pt idx="2">
                  <c:v> Debit Card </c:v>
                </c:pt>
                <c:pt idx="3">
                  <c:v> Cash </c:v>
                </c:pt>
                <c:pt idx="4">
                  <c:v> PayPal </c:v>
                </c:pt>
                <c:pt idx="5">
                  <c:v> Credit Card </c:v>
                </c:pt>
              </c:strCache>
            </c:strRef>
          </c:cat>
          <c:val>
            <c:numRef>
              <c:f>shopping_behavior_updated!$K$24:$K$29</c:f>
              <c:numCache>
                <c:formatCode>_ [$₹-4009]\ * #,##0.00_ ;_ [$₹-4009]\ * \-#,##0.00_ ;_ [$₹-4009]\ * "-"??_ ;_ @_ </c:formatCode>
                <c:ptCount val="6"/>
                <c:pt idx="0">
                  <c:v>36544</c:v>
                </c:pt>
                <c:pt idx="1">
                  <c:v>37374</c:v>
                </c:pt>
                <c:pt idx="2">
                  <c:v>38742</c:v>
                </c:pt>
                <c:pt idx="3">
                  <c:v>40002</c:v>
                </c:pt>
                <c:pt idx="4">
                  <c:v>40109</c:v>
                </c:pt>
                <c:pt idx="5">
                  <c:v>40310</c:v>
                </c:pt>
              </c:numCache>
            </c:numRef>
          </c:val>
          <c:extLst>
            <c:ext xmlns:c16="http://schemas.microsoft.com/office/drawing/2014/chart" uri="{C3380CC4-5D6E-409C-BE32-E72D297353CC}">
              <c16:uniqueId val="{00000000-6A68-4AF2-BBF5-81612BF5A3F4}"/>
            </c:ext>
          </c:extLst>
        </c:ser>
        <c:ser>
          <c:idx val="1"/>
          <c:order val="1"/>
          <c:spPr>
            <a:solidFill>
              <a:schemeClr val="accent2"/>
            </a:solidFill>
            <a:ln>
              <a:noFill/>
            </a:ln>
            <a:effectLst/>
          </c:spPr>
          <c:invertIfNegative val="0"/>
          <c:dLbls>
            <c:dLbl>
              <c:idx val="0"/>
              <c:layout>
                <c:manualLayout>
                  <c:x val="3.0474492395022161E-3"/>
                  <c:y val="-8.644498313700367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74392808307065"/>
                      <c:h val="8.8516239168603128E-2"/>
                    </c:manualLayout>
                  </c15:layout>
                </c:ext>
                <c:ext xmlns:c16="http://schemas.microsoft.com/office/drawing/2014/chart" uri="{C3380CC4-5D6E-409C-BE32-E72D297353CC}">
                  <c16:uniqueId val="{00000001-6A68-4AF2-BBF5-81612BF5A3F4}"/>
                </c:ext>
              </c:extLst>
            </c:dLbl>
            <c:dLbl>
              <c:idx val="1"/>
              <c:layout>
                <c:manualLayout>
                  <c:x val="-2.7836304338672265E-17"/>
                  <c:y val="-2.31481481481481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68-4AF2-BBF5-81612BF5A3F4}"/>
                </c:ext>
              </c:extLst>
            </c:dLbl>
            <c:dLbl>
              <c:idx val="2"/>
              <c:layout>
                <c:manualLayout>
                  <c:x val="0"/>
                  <c:y val="-2.77777777777777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68-4AF2-BBF5-81612BF5A3F4}"/>
                </c:ext>
              </c:extLst>
            </c:dLbl>
            <c:dLbl>
              <c:idx val="3"/>
              <c:layout>
                <c:manualLayout>
                  <c:x val="-1.1134521735468906E-16"/>
                  <c:y val="-2.314814814814819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68-4AF2-BBF5-81612BF5A3F4}"/>
                </c:ext>
              </c:extLst>
            </c:dLbl>
            <c:dLbl>
              <c:idx val="4"/>
              <c:layout>
                <c:manualLayout>
                  <c:x val="6.0734456522258942E-3"/>
                  <c:y val="-2.77777777777777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68-4AF2-BBF5-81612BF5A3F4}"/>
                </c:ext>
              </c:extLst>
            </c:dLbl>
            <c:dLbl>
              <c:idx val="5"/>
              <c:layout>
                <c:manualLayout>
                  <c:x val="0"/>
                  <c:y val="-2.31481481481480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68-4AF2-BBF5-81612BF5A3F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shopping_behavior_updated!$J$24:$J$29</c:f>
              <c:strCache>
                <c:ptCount val="6"/>
                <c:pt idx="0">
                  <c:v> Bank Transfer </c:v>
                </c:pt>
                <c:pt idx="1">
                  <c:v> Venmo </c:v>
                </c:pt>
                <c:pt idx="2">
                  <c:v> Debit Card </c:v>
                </c:pt>
                <c:pt idx="3">
                  <c:v> Cash </c:v>
                </c:pt>
                <c:pt idx="4">
                  <c:v> PayPal </c:v>
                </c:pt>
                <c:pt idx="5">
                  <c:v> Credit Card </c:v>
                </c:pt>
              </c:strCache>
            </c:strRef>
          </c:cat>
          <c:val>
            <c:numRef>
              <c:f>shopping_behavior_updated!$L$24:$L$29</c:f>
              <c:numCache>
                <c:formatCode>0.00%</c:formatCode>
                <c:ptCount val="6"/>
                <c:pt idx="0">
                  <c:v>0.15678669647032575</c:v>
                </c:pt>
                <c:pt idx="1">
                  <c:v>0.16034769028792567</c:v>
                </c:pt>
                <c:pt idx="2">
                  <c:v>0.1662168945559698</c:v>
                </c:pt>
                <c:pt idx="3">
                  <c:v>0.17162274059232627</c:v>
                </c:pt>
                <c:pt idx="4">
                  <c:v>0.17208180847001686</c:v>
                </c:pt>
                <c:pt idx="5">
                  <c:v>0.17294416962343562</c:v>
                </c:pt>
              </c:numCache>
            </c:numRef>
          </c:val>
          <c:extLst>
            <c:ext xmlns:c16="http://schemas.microsoft.com/office/drawing/2014/chart" uri="{C3380CC4-5D6E-409C-BE32-E72D297353CC}">
              <c16:uniqueId val="{00000007-6A68-4AF2-BBF5-81612BF5A3F4}"/>
            </c:ext>
          </c:extLst>
        </c:ser>
        <c:dLbls>
          <c:showLegendKey val="0"/>
          <c:showVal val="0"/>
          <c:showCatName val="0"/>
          <c:showSerName val="0"/>
          <c:showPercent val="0"/>
          <c:showBubbleSize val="0"/>
        </c:dLbls>
        <c:gapWidth val="150"/>
        <c:overlap val="100"/>
        <c:axId val="2050721455"/>
        <c:axId val="1544865903"/>
      </c:barChart>
      <c:barChart>
        <c:barDir val="col"/>
        <c:grouping val="stacked"/>
        <c:varyColors val="0"/>
        <c:ser>
          <c:idx val="2"/>
          <c:order val="2"/>
          <c:tx>
            <c:strRef>
              <c:f>shopping_behavior_updated!$M$23</c:f>
              <c:strCache>
                <c:ptCount val="1"/>
                <c:pt idx="0">
                  <c:v>Max</c:v>
                </c:pt>
              </c:strCache>
            </c:strRef>
          </c:tx>
          <c:spPr>
            <a:solidFill>
              <a:schemeClr val="accent1"/>
            </a:solidFill>
            <a:ln>
              <a:noFill/>
            </a:ln>
            <a:effectLst/>
          </c:spPr>
          <c:invertIfNegative val="0"/>
          <c:val>
            <c:numRef>
              <c:f>shopping_behavior_updated!$M$24:$M$29</c:f>
              <c:numCache>
                <c:formatCode>_ [$₹-4009]\ * #,##0.00_ ;_ [$₹-4009]\ * \-#,##0.00_ ;_ [$₹-4009]\ * "-"??_ ;_ @_ </c:formatCode>
                <c:ptCount val="6"/>
                <c:pt idx="0">
                  <c:v>0</c:v>
                </c:pt>
                <c:pt idx="1">
                  <c:v>0</c:v>
                </c:pt>
                <c:pt idx="2">
                  <c:v>0</c:v>
                </c:pt>
                <c:pt idx="3">
                  <c:v>0</c:v>
                </c:pt>
                <c:pt idx="4">
                  <c:v>0</c:v>
                </c:pt>
                <c:pt idx="5">
                  <c:v>40310</c:v>
                </c:pt>
              </c:numCache>
            </c:numRef>
          </c:val>
          <c:extLst>
            <c:ext xmlns:c16="http://schemas.microsoft.com/office/drawing/2014/chart" uri="{C3380CC4-5D6E-409C-BE32-E72D297353CC}">
              <c16:uniqueId val="{0000000C-6A68-4AF2-BBF5-81612BF5A3F4}"/>
            </c:ext>
          </c:extLst>
        </c:ser>
        <c:ser>
          <c:idx val="3"/>
          <c:order val="3"/>
          <c:tx>
            <c:strRef>
              <c:f>shopping_behavior_updated!$N$23</c:f>
              <c:strCache>
                <c:ptCount val="1"/>
                <c:pt idx="0">
                  <c:v>Min</c:v>
                </c:pt>
              </c:strCache>
            </c:strRef>
          </c:tx>
          <c:spPr>
            <a:solidFill>
              <a:schemeClr val="accent2"/>
            </a:solidFill>
            <a:ln>
              <a:noFill/>
            </a:ln>
            <a:effectLst/>
          </c:spPr>
          <c:invertIfNegative val="0"/>
          <c:val>
            <c:numRef>
              <c:f>shopping_behavior_updated!$N$24:$N$29</c:f>
              <c:numCache>
                <c:formatCode>_ [$₹-4009]\ * #,##0.00_ ;_ [$₹-4009]\ * \-#,##0.00_ ;_ [$₹-4009]\ * "-"??_ ;_ @_ </c:formatCode>
                <c:ptCount val="6"/>
                <c:pt idx="0">
                  <c:v>36544</c:v>
                </c:pt>
                <c:pt idx="1">
                  <c:v>0</c:v>
                </c:pt>
                <c:pt idx="2">
                  <c:v>0</c:v>
                </c:pt>
                <c:pt idx="3">
                  <c:v>0</c:v>
                </c:pt>
                <c:pt idx="4">
                  <c:v>0</c:v>
                </c:pt>
                <c:pt idx="5">
                  <c:v>0</c:v>
                </c:pt>
              </c:numCache>
            </c:numRef>
          </c:val>
          <c:extLst>
            <c:ext xmlns:c16="http://schemas.microsoft.com/office/drawing/2014/chart" uri="{C3380CC4-5D6E-409C-BE32-E72D297353CC}">
              <c16:uniqueId val="{0000000D-6A68-4AF2-BBF5-81612BF5A3F4}"/>
            </c:ext>
          </c:extLst>
        </c:ser>
        <c:dLbls>
          <c:showLegendKey val="0"/>
          <c:showVal val="0"/>
          <c:showCatName val="0"/>
          <c:showSerName val="0"/>
          <c:showPercent val="0"/>
          <c:showBubbleSize val="0"/>
        </c:dLbls>
        <c:gapWidth val="127"/>
        <c:overlap val="100"/>
        <c:axId val="2021178047"/>
        <c:axId val="1544847183"/>
      </c:barChart>
      <c:catAx>
        <c:axId val="20507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44865903"/>
        <c:crosses val="autoZero"/>
        <c:auto val="1"/>
        <c:lblAlgn val="ctr"/>
        <c:lblOffset val="100"/>
        <c:noMultiLvlLbl val="0"/>
      </c:catAx>
      <c:valAx>
        <c:axId val="1544865903"/>
        <c:scaling>
          <c:orientation val="minMax"/>
        </c:scaling>
        <c:delete val="1"/>
        <c:axPos val="l"/>
        <c:numFmt formatCode="_ [$₹-4009]\ * #,##0.00_ ;_ [$₹-4009]\ * \-#,##0.00_ ;_ [$₹-4009]\ * &quot;-&quot;??_ ;_ @_ " sourceLinked="1"/>
        <c:majorTickMark val="none"/>
        <c:minorTickMark val="none"/>
        <c:tickLblPos val="nextTo"/>
        <c:crossAx val="2050721455"/>
        <c:crosses val="autoZero"/>
        <c:crossBetween val="between"/>
      </c:valAx>
      <c:valAx>
        <c:axId val="1544847183"/>
        <c:scaling>
          <c:orientation val="minMax"/>
        </c:scaling>
        <c:delete val="1"/>
        <c:axPos val="r"/>
        <c:numFmt formatCode="_ [$₹-4009]\ * #,##0.00_ ;_ [$₹-4009]\ * \-#,##0.00_ ;_ [$₹-4009]\ * &quot;-&quot;??_ ;_ @_ " sourceLinked="1"/>
        <c:majorTickMark val="out"/>
        <c:minorTickMark val="none"/>
        <c:tickLblPos val="nextTo"/>
        <c:crossAx val="2021178047"/>
        <c:crosses val="max"/>
        <c:crossBetween val="between"/>
      </c:valAx>
      <c:catAx>
        <c:axId val="2021178047"/>
        <c:scaling>
          <c:orientation val="minMax"/>
        </c:scaling>
        <c:delete val="1"/>
        <c:axPos val="b"/>
        <c:numFmt formatCode="General" sourceLinked="1"/>
        <c:majorTickMark val="out"/>
        <c:minorTickMark val="none"/>
        <c:tickLblPos val="nextTo"/>
        <c:crossAx val="1544847183"/>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902311471393057E-2"/>
          <c:y val="6.8172790901137356E-2"/>
          <c:w val="0.87178920313582031"/>
          <c:h val="0.7798639545056868"/>
        </c:manualLayout>
      </c:layout>
      <c:barChart>
        <c:barDir val="col"/>
        <c:grouping val="clustered"/>
        <c:varyColors val="0"/>
        <c:ser>
          <c:idx val="0"/>
          <c:order val="0"/>
          <c:spPr>
            <a:solidFill>
              <a:schemeClr val="accent2">
                <a:lumMod val="40000"/>
                <a:lumOff val="60000"/>
              </a:schemeClr>
            </a:solidFill>
            <a:ln>
              <a:noFill/>
            </a:ln>
            <a:effectLst/>
          </c:spPr>
          <c:invertIfNegative val="0"/>
          <c:dLbls>
            <c:dLbl>
              <c:idx val="0"/>
              <c:layout>
                <c:manualLayout>
                  <c:x val="0"/>
                  <c:y val="-3.64809798835338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A4-4418-BCC9-2E6D9EA2D76B}"/>
                </c:ext>
              </c:extLst>
            </c:dLbl>
            <c:dLbl>
              <c:idx val="1"/>
              <c:layout>
                <c:manualLayout>
                  <c:x val="0"/>
                  <c:y val="-0.320044625905261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A4-4418-BCC9-2E6D9EA2D76B}"/>
                </c:ext>
              </c:extLst>
            </c:dLbl>
            <c:dLbl>
              <c:idx val="2"/>
              <c:layout>
                <c:manualLayout>
                  <c:x val="-8.5260043252860882E-3"/>
                  <c:y val="2.1032370953630794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433915303051816"/>
                      <c:h val="0.11518110236220472"/>
                    </c:manualLayout>
                  </c15:layout>
                </c:ext>
                <c:ext xmlns:c16="http://schemas.microsoft.com/office/drawing/2014/chart" uri="{C3380CC4-5D6E-409C-BE32-E72D297353CC}">
                  <c16:uniqueId val="{00000002-B9A4-4418-BCC9-2E6D9EA2D76B}"/>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A4-4418-BCC9-2E6D9EA2D76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shopping_behavior_updated!$Q$34:$Q$37</c:f>
              <c:strCache>
                <c:ptCount val="4"/>
                <c:pt idx="0">
                  <c:v>0-18</c:v>
                </c:pt>
                <c:pt idx="1">
                  <c:v>57-75</c:v>
                </c:pt>
                <c:pt idx="2">
                  <c:v>38-56</c:v>
                </c:pt>
                <c:pt idx="3">
                  <c:v>19-37</c:v>
                </c:pt>
              </c:strCache>
            </c:strRef>
          </c:cat>
          <c:val>
            <c:numRef>
              <c:f>shopping_behavior_updated!$R$34:$R$37</c:f>
              <c:numCache>
                <c:formatCode>_ [$₹-4009]\ * #,##0_ ;_ [$₹-4009]\ * \-#,##0_ ;_ [$₹-4009]\ * "-"??_ ;_ @_ </c:formatCode>
                <c:ptCount val="4"/>
                <c:pt idx="0">
                  <c:v>4139</c:v>
                </c:pt>
                <c:pt idx="1">
                  <c:v>60963</c:v>
                </c:pt>
                <c:pt idx="2">
                  <c:v>83898</c:v>
                </c:pt>
                <c:pt idx="3">
                  <c:v>84081</c:v>
                </c:pt>
              </c:numCache>
            </c:numRef>
          </c:val>
          <c:extLst>
            <c:ext xmlns:c16="http://schemas.microsoft.com/office/drawing/2014/chart" uri="{C3380CC4-5D6E-409C-BE32-E72D297353CC}">
              <c16:uniqueId val="{00000004-B9A4-4418-BCC9-2E6D9EA2D76B}"/>
            </c:ext>
          </c:extLst>
        </c:ser>
        <c:ser>
          <c:idx val="1"/>
          <c:order val="1"/>
          <c:tx>
            <c:strRef>
              <c:f>shopping_behavior_updated!$S$33</c:f>
              <c:strCache>
                <c:ptCount val="1"/>
                <c:pt idx="0">
                  <c:v>Max </c:v>
                </c:pt>
              </c:strCache>
            </c:strRef>
          </c:tx>
          <c:spPr>
            <a:solidFill>
              <a:schemeClr val="accent1"/>
            </a:solidFill>
            <a:ln>
              <a:noFill/>
            </a:ln>
            <a:effectLst/>
          </c:spPr>
          <c:invertIfNegative val="0"/>
          <c:dLbls>
            <c:delete val="1"/>
          </c:dLbls>
          <c:val>
            <c:numRef>
              <c:f>shopping_behavior_updated!$S$34:$S$37</c:f>
              <c:numCache>
                <c:formatCode>General</c:formatCode>
                <c:ptCount val="4"/>
                <c:pt idx="0">
                  <c:v>0</c:v>
                </c:pt>
                <c:pt idx="1">
                  <c:v>0</c:v>
                </c:pt>
                <c:pt idx="2">
                  <c:v>0</c:v>
                </c:pt>
                <c:pt idx="3">
                  <c:v>84081</c:v>
                </c:pt>
              </c:numCache>
            </c:numRef>
          </c:val>
          <c:extLst>
            <c:ext xmlns:c16="http://schemas.microsoft.com/office/drawing/2014/chart" uri="{C3380CC4-5D6E-409C-BE32-E72D297353CC}">
              <c16:uniqueId val="{00000005-B9A4-4418-BCC9-2E6D9EA2D76B}"/>
            </c:ext>
          </c:extLst>
        </c:ser>
        <c:ser>
          <c:idx val="2"/>
          <c:order val="2"/>
          <c:tx>
            <c:strRef>
              <c:f>shopping_behavior_updated!$T$33</c:f>
              <c:strCache>
                <c:ptCount val="1"/>
                <c:pt idx="0">
                  <c:v>Min</c:v>
                </c:pt>
              </c:strCache>
            </c:strRef>
          </c:tx>
          <c:spPr>
            <a:solidFill>
              <a:schemeClr val="accent2"/>
            </a:solidFill>
            <a:ln>
              <a:noFill/>
            </a:ln>
            <a:effectLst/>
          </c:spPr>
          <c:invertIfNegative val="0"/>
          <c:dLbls>
            <c:delete val="1"/>
          </c:dLbls>
          <c:val>
            <c:numRef>
              <c:f>shopping_behavior_updated!$T$34:$T$37</c:f>
              <c:numCache>
                <c:formatCode>General</c:formatCode>
                <c:ptCount val="4"/>
                <c:pt idx="0">
                  <c:v>4139</c:v>
                </c:pt>
                <c:pt idx="1">
                  <c:v>0</c:v>
                </c:pt>
                <c:pt idx="2">
                  <c:v>0</c:v>
                </c:pt>
                <c:pt idx="3">
                  <c:v>0</c:v>
                </c:pt>
              </c:numCache>
            </c:numRef>
          </c:val>
          <c:extLst>
            <c:ext xmlns:c16="http://schemas.microsoft.com/office/drawing/2014/chart" uri="{C3380CC4-5D6E-409C-BE32-E72D297353CC}">
              <c16:uniqueId val="{00000006-B9A4-4418-BCC9-2E6D9EA2D76B}"/>
            </c:ext>
          </c:extLst>
        </c:ser>
        <c:dLbls>
          <c:dLblPos val="ctr"/>
          <c:showLegendKey val="0"/>
          <c:showVal val="1"/>
          <c:showCatName val="0"/>
          <c:showSerName val="0"/>
          <c:showPercent val="0"/>
          <c:showBubbleSize val="0"/>
        </c:dLbls>
        <c:gapWidth val="134"/>
        <c:overlap val="100"/>
        <c:axId val="2021361791"/>
        <c:axId val="1596915503"/>
      </c:barChart>
      <c:catAx>
        <c:axId val="202136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596915503"/>
        <c:crosses val="autoZero"/>
        <c:auto val="1"/>
        <c:lblAlgn val="ctr"/>
        <c:lblOffset val="100"/>
        <c:noMultiLvlLbl val="0"/>
      </c:catAx>
      <c:valAx>
        <c:axId val="1596915503"/>
        <c:scaling>
          <c:orientation val="minMax"/>
        </c:scaling>
        <c:delete val="1"/>
        <c:axPos val="l"/>
        <c:numFmt formatCode="_ [$₹-4009]\ * #,##0_ ;_ [$₹-4009]\ * \-#,##0_ ;_ [$₹-4009]\ * &quot;-&quot;??_ ;_ @_ " sourceLinked="1"/>
        <c:majorTickMark val="none"/>
        <c:minorTickMark val="none"/>
        <c:tickLblPos val="nextTo"/>
        <c:crossAx val="202136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837647360853415"/>
          <c:y val="6.194152312298784E-2"/>
          <c:w val="0.59740127031765522"/>
          <c:h val="0.87611695375402432"/>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shopping_behavior_updated!$B$35:$B$39</c:f>
              <c:strCache>
                <c:ptCount val="5"/>
                <c:pt idx="0">
                  <c:v>Jeans</c:v>
                </c:pt>
                <c:pt idx="1">
                  <c:v>Gloves</c:v>
                </c:pt>
                <c:pt idx="2">
                  <c:v>Sneakers</c:v>
                </c:pt>
                <c:pt idx="3">
                  <c:v>Backpack</c:v>
                </c:pt>
                <c:pt idx="4">
                  <c:v>Hoodie</c:v>
                </c:pt>
              </c:strCache>
            </c:strRef>
          </c:cat>
          <c:val>
            <c:numRef>
              <c:f>shopping_behavior_updated!$C$35:$C$39</c:f>
              <c:numCache>
                <c:formatCode>_ [$₹-4009]\ * #,##0_ ;_ [$₹-4009]\ * \-#,##0_ ;_ [$₹-4009]\ * "-"??_ ;_ @_ </c:formatCode>
                <c:ptCount val="5"/>
                <c:pt idx="0">
                  <c:v>7548</c:v>
                </c:pt>
                <c:pt idx="1">
                  <c:v>8477</c:v>
                </c:pt>
                <c:pt idx="2">
                  <c:v>8635</c:v>
                </c:pt>
                <c:pt idx="3">
                  <c:v>8636</c:v>
                </c:pt>
                <c:pt idx="4">
                  <c:v>8767</c:v>
                </c:pt>
              </c:numCache>
            </c:numRef>
          </c:val>
          <c:extLst>
            <c:ext xmlns:c16="http://schemas.microsoft.com/office/drawing/2014/chart" uri="{C3380CC4-5D6E-409C-BE32-E72D297353CC}">
              <c16:uniqueId val="{00000000-9E1E-4555-9C98-9BBF8C4A0EAE}"/>
            </c:ext>
          </c:extLst>
        </c:ser>
        <c:dLbls>
          <c:dLblPos val="outEnd"/>
          <c:showLegendKey val="0"/>
          <c:showVal val="1"/>
          <c:showCatName val="0"/>
          <c:showSerName val="0"/>
          <c:showPercent val="0"/>
          <c:showBubbleSize val="0"/>
        </c:dLbls>
        <c:gapWidth val="182"/>
        <c:axId val="2021297759"/>
        <c:axId val="1596933743"/>
      </c:barChart>
      <c:catAx>
        <c:axId val="202129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96933743"/>
        <c:crosses val="autoZero"/>
        <c:auto val="1"/>
        <c:lblAlgn val="ctr"/>
        <c:lblOffset val="100"/>
        <c:noMultiLvlLbl val="0"/>
      </c:catAx>
      <c:valAx>
        <c:axId val="1596933743"/>
        <c:scaling>
          <c:orientation val="minMax"/>
        </c:scaling>
        <c:delete val="1"/>
        <c:axPos val="b"/>
        <c:numFmt formatCode="_ [$₹-4009]\ * #,##0_ ;_ [$₹-4009]\ * \-#,##0_ ;_ [$₹-4009]\ * &quot;-&quot;??_ ;_ @_ " sourceLinked="1"/>
        <c:majorTickMark val="none"/>
        <c:minorTickMark val="none"/>
        <c:tickLblPos val="nextTo"/>
        <c:crossAx val="202129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0454441793918"/>
          <c:y val="0.13302747488713615"/>
          <c:w val="0.58228535281733862"/>
          <c:h val="0.86697252511286382"/>
        </c:manualLayout>
      </c:layout>
      <c:doughnutChart>
        <c:varyColors val="1"/>
        <c:ser>
          <c:idx val="0"/>
          <c:order val="0"/>
          <c:tx>
            <c:strRef>
              <c:f>shopping_behavior_updated!$O$12</c:f>
              <c:strCache>
                <c:ptCount val="1"/>
                <c:pt idx="0">
                  <c:v>%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7-48FB-9F78-BA346FC688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7-48FB-9F78-BA346FC688C9}"/>
              </c:ext>
            </c:extLst>
          </c:dPt>
          <c:dLbls>
            <c:dLbl>
              <c:idx val="0"/>
              <c:layout>
                <c:manualLayout>
                  <c:x val="0.15862300936982415"/>
                  <c:y val="-8.48494161472543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77-48FB-9F78-BA346FC688C9}"/>
                </c:ext>
              </c:extLst>
            </c:dLbl>
            <c:dLbl>
              <c:idx val="1"/>
              <c:layout>
                <c:manualLayout>
                  <c:x val="-0.14755628778588303"/>
                  <c:y val="6.6667398401414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77-48FB-9F78-BA346FC688C9}"/>
                </c:ext>
              </c:extLst>
            </c:dLbl>
            <c:spPr>
              <a:noFill/>
              <a:ln>
                <a:noFill/>
              </a:ln>
              <a:effectLst/>
            </c:spPr>
            <c:txPr>
              <a:bodyPr rot="0" spcFirstLastPara="1" vertOverflow="ellipsis" vert="horz" wrap="square" lIns="108000" tIns="72000" rIns="72000" bIns="72000" anchor="t"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shopping_behavior_updated!$N$13:$N$14</c:f>
              <c:strCache>
                <c:ptCount val="2"/>
                <c:pt idx="0">
                  <c:v>Female</c:v>
                </c:pt>
                <c:pt idx="1">
                  <c:v>Male</c:v>
                </c:pt>
              </c:strCache>
            </c:strRef>
          </c:cat>
          <c:val>
            <c:numRef>
              <c:f>shopping_behavior_updated!$O$13:$O$14</c:f>
              <c:numCache>
                <c:formatCode>0.00%</c:formatCode>
                <c:ptCount val="2"/>
                <c:pt idx="0">
                  <c:v>0.32259600739657029</c:v>
                </c:pt>
                <c:pt idx="1">
                  <c:v>0.67740399260342976</c:v>
                </c:pt>
              </c:numCache>
            </c:numRef>
          </c:val>
          <c:extLst>
            <c:ext xmlns:c16="http://schemas.microsoft.com/office/drawing/2014/chart" uri="{C3380CC4-5D6E-409C-BE32-E72D297353CC}">
              <c16:uniqueId val="{00000004-4677-48FB-9F78-BA346FC688C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61040861420344605"/>
          <c:y val="0.89395351875163287"/>
          <c:w val="0.3748180409569799"/>
          <c:h val="0.106046481248367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shopping_behavior_updated!$D$26" lockText="1" noThreeD="1"/>
</file>

<file path=xl/ctrlProps/ctrlProp2.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411480</xdr:colOff>
      <xdr:row>0</xdr:row>
      <xdr:rowOff>158249</xdr:rowOff>
    </xdr:from>
    <xdr:to>
      <xdr:col>8</xdr:col>
      <xdr:colOff>243840</xdr:colOff>
      <xdr:row>3</xdr:row>
      <xdr:rowOff>32040</xdr:rowOff>
    </xdr:to>
    <xdr:sp macro="" textlink="">
      <xdr:nvSpPr>
        <xdr:cNvPr id="3" name="Rectangle: Rounded Corners 2">
          <a:extLst>
            <a:ext uri="{FF2B5EF4-FFF2-40B4-BE49-F238E27FC236}">
              <a16:creationId xmlns:a16="http://schemas.microsoft.com/office/drawing/2014/main" id="{8A64BB68-74EB-9983-E975-B9308DF93FF8}"/>
            </a:ext>
          </a:extLst>
        </xdr:cNvPr>
        <xdr:cNvSpPr/>
      </xdr:nvSpPr>
      <xdr:spPr>
        <a:xfrm>
          <a:off x="411480" y="158249"/>
          <a:ext cx="4723337" cy="432000"/>
        </a:xfrm>
        <a:prstGeom prst="roundRect">
          <a:avLst/>
        </a:prstGeom>
        <a:pattFill prst="pct5">
          <a:fgClr>
            <a:schemeClr val="bg1"/>
          </a:fgClr>
          <a:bgClr>
            <a:schemeClr val="bg1"/>
          </a:bgClr>
        </a:pattFill>
        <a:ln w="15875">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1</xdr:col>
      <xdr:colOff>418060</xdr:colOff>
      <xdr:row>0</xdr:row>
      <xdr:rowOff>127347</xdr:rowOff>
    </xdr:from>
    <xdr:ext cx="3729645" cy="570039"/>
    <xdr:sp macro="" textlink="">
      <xdr:nvSpPr>
        <xdr:cNvPr id="4" name="TextBox 3">
          <a:extLst>
            <a:ext uri="{FF2B5EF4-FFF2-40B4-BE49-F238E27FC236}">
              <a16:creationId xmlns:a16="http://schemas.microsoft.com/office/drawing/2014/main" id="{95F2967E-59FE-9DCC-1D0D-F25F900A21ED}"/>
            </a:ext>
          </a:extLst>
        </xdr:cNvPr>
        <xdr:cNvSpPr txBox="1"/>
      </xdr:nvSpPr>
      <xdr:spPr>
        <a:xfrm>
          <a:off x="1027660" y="127347"/>
          <a:ext cx="3729645" cy="570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t>Custmor</a:t>
          </a:r>
          <a:r>
            <a:rPr lang="en-IN" sz="2400" b="1" i="0" baseline="0"/>
            <a:t> Shopping Behavior</a:t>
          </a:r>
        </a:p>
        <a:p>
          <a:endParaRPr lang="en-IN" sz="1100"/>
        </a:p>
      </xdr:txBody>
    </xdr:sp>
    <xdr:clientData/>
  </xdr:oneCellAnchor>
  <xdr:twoCellAnchor>
    <xdr:from>
      <xdr:col>0</xdr:col>
      <xdr:colOff>346364</xdr:colOff>
      <xdr:row>3</xdr:row>
      <xdr:rowOff>106680</xdr:rowOff>
    </xdr:from>
    <xdr:to>
      <xdr:col>3</xdr:col>
      <xdr:colOff>353564</xdr:colOff>
      <xdr:row>6</xdr:row>
      <xdr:rowOff>134040</xdr:rowOff>
    </xdr:to>
    <xdr:sp macro="" textlink="">
      <xdr:nvSpPr>
        <xdr:cNvPr id="5" name="Rectangle: Rounded Corners 4">
          <a:extLst>
            <a:ext uri="{FF2B5EF4-FFF2-40B4-BE49-F238E27FC236}">
              <a16:creationId xmlns:a16="http://schemas.microsoft.com/office/drawing/2014/main" id="{0CA85E24-0234-5BA2-598D-619337C38722}"/>
            </a:ext>
          </a:extLst>
        </xdr:cNvPr>
        <xdr:cNvSpPr/>
      </xdr:nvSpPr>
      <xdr:spPr>
        <a:xfrm>
          <a:off x="346364" y="652203"/>
          <a:ext cx="1825609" cy="572882"/>
        </a:xfrm>
        <a:prstGeom prst="roundRect">
          <a:avLst/>
        </a:prstGeom>
        <a:pattFill prst="pct50">
          <a:fgClr>
            <a:schemeClr val="bg1"/>
          </a:fgClr>
          <a:bgClr>
            <a:schemeClr val="bg1"/>
          </a:bgClr>
        </a:pattFill>
        <a:ln w="158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441960</xdr:colOff>
      <xdr:row>3</xdr:row>
      <xdr:rowOff>99060</xdr:rowOff>
    </xdr:from>
    <xdr:to>
      <xdr:col>6</xdr:col>
      <xdr:colOff>449160</xdr:colOff>
      <xdr:row>6</xdr:row>
      <xdr:rowOff>126420</xdr:rowOff>
    </xdr:to>
    <xdr:sp macro="" textlink="">
      <xdr:nvSpPr>
        <xdr:cNvPr id="6" name="Rectangle: Rounded Corners 5">
          <a:extLst>
            <a:ext uri="{FF2B5EF4-FFF2-40B4-BE49-F238E27FC236}">
              <a16:creationId xmlns:a16="http://schemas.microsoft.com/office/drawing/2014/main" id="{1CC12847-7383-47AB-8E67-72F336E39F3B}"/>
            </a:ext>
          </a:extLst>
        </xdr:cNvPr>
        <xdr:cNvSpPr/>
      </xdr:nvSpPr>
      <xdr:spPr>
        <a:xfrm>
          <a:off x="2260369" y="644583"/>
          <a:ext cx="1825609" cy="572882"/>
        </a:xfrm>
        <a:prstGeom prst="roundRect">
          <a:avLst/>
        </a:prstGeom>
        <a:pattFill prst="pct50">
          <a:fgClr>
            <a:schemeClr val="bg1"/>
          </a:fgClr>
          <a:bgClr>
            <a:schemeClr val="bg1"/>
          </a:bgClr>
        </a:pattFill>
        <a:ln w="158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546215</xdr:colOff>
      <xdr:row>3</xdr:row>
      <xdr:rowOff>96520</xdr:rowOff>
    </xdr:from>
    <xdr:to>
      <xdr:col>9</xdr:col>
      <xdr:colOff>553415</xdr:colOff>
      <xdr:row>6</xdr:row>
      <xdr:rowOff>123880</xdr:rowOff>
    </xdr:to>
    <xdr:sp macro="" textlink="">
      <xdr:nvSpPr>
        <xdr:cNvPr id="7" name="Rectangle: Rounded Corners 6">
          <a:extLst>
            <a:ext uri="{FF2B5EF4-FFF2-40B4-BE49-F238E27FC236}">
              <a16:creationId xmlns:a16="http://schemas.microsoft.com/office/drawing/2014/main" id="{013BAC7F-2361-42DA-A4ED-67E20AE0044B}"/>
            </a:ext>
          </a:extLst>
        </xdr:cNvPr>
        <xdr:cNvSpPr/>
      </xdr:nvSpPr>
      <xdr:spPr>
        <a:xfrm>
          <a:off x="4203815" y="645160"/>
          <a:ext cx="1836000" cy="576000"/>
        </a:xfrm>
        <a:prstGeom prst="roundRect">
          <a:avLst/>
        </a:prstGeom>
        <a:pattFill prst="pct5">
          <a:fgClr>
            <a:schemeClr val="bg1"/>
          </a:fgClr>
          <a:bgClr>
            <a:schemeClr val="bg1"/>
          </a:bgClr>
        </a:pattFill>
        <a:ln w="158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27015</xdr:colOff>
      <xdr:row>3</xdr:row>
      <xdr:rowOff>99060</xdr:rowOff>
    </xdr:from>
    <xdr:to>
      <xdr:col>12</xdr:col>
      <xdr:colOff>640352</xdr:colOff>
      <xdr:row>6</xdr:row>
      <xdr:rowOff>126420</xdr:rowOff>
    </xdr:to>
    <xdr:sp macro="" textlink="">
      <xdr:nvSpPr>
        <xdr:cNvPr id="8" name="Rectangle: Rounded Corners 7">
          <a:extLst>
            <a:ext uri="{FF2B5EF4-FFF2-40B4-BE49-F238E27FC236}">
              <a16:creationId xmlns:a16="http://schemas.microsoft.com/office/drawing/2014/main" id="{DF1A6C60-05D7-4E30-8342-11828D179C21}"/>
            </a:ext>
          </a:extLst>
        </xdr:cNvPr>
        <xdr:cNvSpPr/>
      </xdr:nvSpPr>
      <xdr:spPr>
        <a:xfrm>
          <a:off x="6088379" y="644583"/>
          <a:ext cx="1825609" cy="572882"/>
        </a:xfrm>
        <a:prstGeom prst="roundRect">
          <a:avLst/>
        </a:prstGeom>
        <a:pattFill prst="pct5">
          <a:fgClr>
            <a:schemeClr val="bg1"/>
          </a:fgClr>
          <a:bgClr>
            <a:schemeClr val="bg1"/>
          </a:bgClr>
        </a:pattFill>
        <a:ln w="158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725287</xdr:colOff>
      <xdr:row>3</xdr:row>
      <xdr:rowOff>90401</xdr:rowOff>
    </xdr:from>
    <xdr:to>
      <xdr:col>15</xdr:col>
      <xdr:colOff>516009</xdr:colOff>
      <xdr:row>6</xdr:row>
      <xdr:rowOff>117761</xdr:rowOff>
    </xdr:to>
    <xdr:sp macro="" textlink="">
      <xdr:nvSpPr>
        <xdr:cNvPr id="9" name="Rectangle: Rounded Corners 8">
          <a:extLst>
            <a:ext uri="{FF2B5EF4-FFF2-40B4-BE49-F238E27FC236}">
              <a16:creationId xmlns:a16="http://schemas.microsoft.com/office/drawing/2014/main" id="{219717B6-990F-43EB-9D6B-129BB974A49A}"/>
            </a:ext>
          </a:extLst>
        </xdr:cNvPr>
        <xdr:cNvSpPr/>
      </xdr:nvSpPr>
      <xdr:spPr>
        <a:xfrm>
          <a:off x="7998923" y="635924"/>
          <a:ext cx="1825609" cy="572882"/>
        </a:xfrm>
        <a:prstGeom prst="roundRect">
          <a:avLst/>
        </a:prstGeom>
        <a:pattFill prst="pct5">
          <a:fgClr>
            <a:schemeClr val="bg1"/>
          </a:fgClr>
          <a:bgClr>
            <a:schemeClr val="bg1"/>
          </a:bgClr>
        </a:pattFill>
        <a:ln w="158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137160</xdr:colOff>
      <xdr:row>3</xdr:row>
      <xdr:rowOff>135082</xdr:rowOff>
    </xdr:from>
    <xdr:ext cx="1409700" cy="281940"/>
    <xdr:sp macro="" textlink="">
      <xdr:nvSpPr>
        <xdr:cNvPr id="10" name="TextBox 9">
          <a:extLst>
            <a:ext uri="{FF2B5EF4-FFF2-40B4-BE49-F238E27FC236}">
              <a16:creationId xmlns:a16="http://schemas.microsoft.com/office/drawing/2014/main" id="{B0827D29-5A67-7018-355B-F3F9FA18C129}"/>
            </a:ext>
          </a:extLst>
        </xdr:cNvPr>
        <xdr:cNvSpPr txBox="1"/>
      </xdr:nvSpPr>
      <xdr:spPr>
        <a:xfrm>
          <a:off x="743296" y="680605"/>
          <a:ext cx="14097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Total Revenue</a:t>
          </a:r>
        </a:p>
        <a:p>
          <a:endParaRPr lang="en-IN" sz="1100"/>
        </a:p>
      </xdr:txBody>
    </xdr:sp>
    <xdr:clientData/>
  </xdr:oneCellAnchor>
  <xdr:oneCellAnchor>
    <xdr:from>
      <xdr:col>1</xdr:col>
      <xdr:colOff>110605</xdr:colOff>
      <xdr:row>4</xdr:row>
      <xdr:rowOff>152400</xdr:rowOff>
    </xdr:from>
    <xdr:ext cx="1447571" cy="304800"/>
    <xdr:sp macro="" textlink="shopping_behavior_updated!B4">
      <xdr:nvSpPr>
        <xdr:cNvPr id="11" name="TextBox 10">
          <a:extLst>
            <a:ext uri="{FF2B5EF4-FFF2-40B4-BE49-F238E27FC236}">
              <a16:creationId xmlns:a16="http://schemas.microsoft.com/office/drawing/2014/main" id="{F6D8E220-FA47-2737-73C0-2F0230149FA6}"/>
            </a:ext>
          </a:extLst>
        </xdr:cNvPr>
        <xdr:cNvSpPr txBox="1"/>
      </xdr:nvSpPr>
      <xdr:spPr>
        <a:xfrm>
          <a:off x="720205" y="883920"/>
          <a:ext cx="1447571"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C152C73-3C9D-47FA-AE98-EF0E7CDCB798}" type="TxLink">
            <a:rPr lang="en-US" sz="2000" b="1" i="0" u="none" strike="noStrike">
              <a:solidFill>
                <a:srgbClr val="000000"/>
              </a:solidFill>
              <a:latin typeface="Aptos Narrow"/>
            </a:rPr>
            <a:pPr/>
            <a:t> ₹ 2,33,081 </a:t>
          </a:fld>
          <a:endParaRPr lang="en-IN" sz="2000" b="1"/>
        </a:p>
      </xdr:txBody>
    </xdr:sp>
    <xdr:clientData/>
  </xdr:oneCellAnchor>
  <xdr:oneCellAnchor>
    <xdr:from>
      <xdr:col>4</xdr:col>
      <xdr:colOff>213360</xdr:colOff>
      <xdr:row>3</xdr:row>
      <xdr:rowOff>117764</xdr:rowOff>
    </xdr:from>
    <xdr:ext cx="1379220" cy="281940"/>
    <xdr:sp macro="" textlink="">
      <xdr:nvSpPr>
        <xdr:cNvPr id="12" name="TextBox 11">
          <a:extLst>
            <a:ext uri="{FF2B5EF4-FFF2-40B4-BE49-F238E27FC236}">
              <a16:creationId xmlns:a16="http://schemas.microsoft.com/office/drawing/2014/main" id="{44B4FE44-DB54-B5AD-0CC9-A4DE162E1F39}"/>
            </a:ext>
          </a:extLst>
        </xdr:cNvPr>
        <xdr:cNvSpPr txBox="1"/>
      </xdr:nvSpPr>
      <xdr:spPr>
        <a:xfrm>
          <a:off x="2637905" y="663287"/>
          <a:ext cx="13792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Total Custmor</a:t>
          </a:r>
        </a:p>
        <a:p>
          <a:endParaRPr lang="en-IN" sz="1100"/>
        </a:p>
      </xdr:txBody>
    </xdr:sp>
    <xdr:clientData/>
  </xdr:oneCellAnchor>
  <xdr:oneCellAnchor>
    <xdr:from>
      <xdr:col>4</xdr:col>
      <xdr:colOff>381000</xdr:colOff>
      <xdr:row>4</xdr:row>
      <xdr:rowOff>137160</xdr:rowOff>
    </xdr:from>
    <xdr:ext cx="838200" cy="405432"/>
    <xdr:sp macro="" textlink="shopping_behavior_updated!C4">
      <xdr:nvSpPr>
        <xdr:cNvPr id="14" name="TextBox 13">
          <a:extLst>
            <a:ext uri="{FF2B5EF4-FFF2-40B4-BE49-F238E27FC236}">
              <a16:creationId xmlns:a16="http://schemas.microsoft.com/office/drawing/2014/main" id="{AE392CA5-7C21-54ED-9203-67538EF136D9}"/>
            </a:ext>
          </a:extLst>
        </xdr:cNvPr>
        <xdr:cNvSpPr txBox="1"/>
      </xdr:nvSpPr>
      <xdr:spPr>
        <a:xfrm>
          <a:off x="2802699" y="888722"/>
          <a:ext cx="838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50E2C7C-3336-4D8D-BD11-68A8D5E0CE7D}" type="TxLink">
            <a:rPr lang="en-US" sz="2000" b="1" i="0" u="none" strike="noStrike">
              <a:solidFill>
                <a:srgbClr val="000000"/>
              </a:solidFill>
              <a:latin typeface="Aptos Narrow"/>
            </a:rPr>
            <a:pPr/>
            <a:t> 3,900 </a:t>
          </a:fld>
          <a:endParaRPr lang="en-IN" sz="2000" b="1"/>
        </a:p>
      </xdr:txBody>
    </xdr:sp>
    <xdr:clientData/>
  </xdr:oneCellAnchor>
  <xdr:oneCellAnchor>
    <xdr:from>
      <xdr:col>7</xdr:col>
      <xdr:colOff>251460</xdr:colOff>
      <xdr:row>3</xdr:row>
      <xdr:rowOff>111183</xdr:rowOff>
    </xdr:from>
    <xdr:ext cx="1460430" cy="243721"/>
    <xdr:sp macro="" textlink="">
      <xdr:nvSpPr>
        <xdr:cNvPr id="15" name="TextBox 14">
          <a:extLst>
            <a:ext uri="{FF2B5EF4-FFF2-40B4-BE49-F238E27FC236}">
              <a16:creationId xmlns:a16="http://schemas.microsoft.com/office/drawing/2014/main" id="{0686B139-CF79-3F9D-426E-45C0828FB72F}"/>
            </a:ext>
          </a:extLst>
        </xdr:cNvPr>
        <xdr:cNvSpPr txBox="1"/>
      </xdr:nvSpPr>
      <xdr:spPr>
        <a:xfrm>
          <a:off x="4489433" y="674854"/>
          <a:ext cx="1460430" cy="2437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Total Transiction</a:t>
          </a:r>
        </a:p>
        <a:p>
          <a:endParaRPr lang="en-IN" sz="1100"/>
        </a:p>
      </xdr:txBody>
    </xdr:sp>
    <xdr:clientData/>
  </xdr:oneCellAnchor>
  <xdr:oneCellAnchor>
    <xdr:from>
      <xdr:col>7</xdr:col>
      <xdr:colOff>259080</xdr:colOff>
      <xdr:row>5</xdr:row>
      <xdr:rowOff>60960</xdr:rowOff>
    </xdr:from>
    <xdr:ext cx="1135380" cy="264560"/>
    <xdr:sp macro="" textlink="">
      <xdr:nvSpPr>
        <xdr:cNvPr id="16" name="TextBox 15">
          <a:extLst>
            <a:ext uri="{FF2B5EF4-FFF2-40B4-BE49-F238E27FC236}">
              <a16:creationId xmlns:a16="http://schemas.microsoft.com/office/drawing/2014/main" id="{AD51CF75-F764-1FB2-C5F7-E5BB3BE008CF}"/>
            </a:ext>
          </a:extLst>
        </xdr:cNvPr>
        <xdr:cNvSpPr txBox="1"/>
      </xdr:nvSpPr>
      <xdr:spPr>
        <a:xfrm>
          <a:off x="4526280" y="975360"/>
          <a:ext cx="11353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7</xdr:col>
      <xdr:colOff>495300</xdr:colOff>
      <xdr:row>4</xdr:row>
      <xdr:rowOff>129540</xdr:rowOff>
    </xdr:from>
    <xdr:ext cx="1097280" cy="405432"/>
    <xdr:sp macro="" textlink="shopping_behavior_updated!D4">
      <xdr:nvSpPr>
        <xdr:cNvPr id="17" name="TextBox 16">
          <a:extLst>
            <a:ext uri="{FF2B5EF4-FFF2-40B4-BE49-F238E27FC236}">
              <a16:creationId xmlns:a16="http://schemas.microsoft.com/office/drawing/2014/main" id="{C2A8E5C0-25F0-2640-2391-728DC0F8DD05}"/>
            </a:ext>
          </a:extLst>
        </xdr:cNvPr>
        <xdr:cNvSpPr txBox="1"/>
      </xdr:nvSpPr>
      <xdr:spPr>
        <a:xfrm>
          <a:off x="4733273" y="881102"/>
          <a:ext cx="1097280" cy="405432"/>
        </a:xfrm>
        <a:prstGeom prst="rect">
          <a:avLst/>
        </a:prstGeom>
        <a:noFill/>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7D802F4-1DF4-49C4-90A7-00866E307DCD}" type="TxLink">
            <a:rPr lang="en-US" sz="2000" b="1" i="0" u="none" strike="noStrike">
              <a:solidFill>
                <a:srgbClr val="000000"/>
              </a:solidFill>
              <a:latin typeface="Aptos Narrow"/>
            </a:rPr>
            <a:pPr/>
            <a:t> 3,900 </a:t>
          </a:fld>
          <a:endParaRPr lang="en-IN" sz="2000" b="1"/>
        </a:p>
      </xdr:txBody>
    </xdr:sp>
    <xdr:clientData/>
  </xdr:oneCellAnchor>
  <xdr:oneCellAnchor>
    <xdr:from>
      <xdr:col>10</xdr:col>
      <xdr:colOff>251460</xdr:colOff>
      <xdr:row>3</xdr:row>
      <xdr:rowOff>98966</xdr:rowOff>
    </xdr:from>
    <xdr:ext cx="1397800" cy="311496"/>
    <xdr:sp macro="" textlink="">
      <xdr:nvSpPr>
        <xdr:cNvPr id="18" name="TextBox 17">
          <a:extLst>
            <a:ext uri="{FF2B5EF4-FFF2-40B4-BE49-F238E27FC236}">
              <a16:creationId xmlns:a16="http://schemas.microsoft.com/office/drawing/2014/main" id="{44B1E657-9EE9-5FC4-8EEE-4534E8C42DCE}"/>
            </a:ext>
          </a:extLst>
        </xdr:cNvPr>
        <xdr:cNvSpPr txBox="1"/>
      </xdr:nvSpPr>
      <xdr:spPr>
        <a:xfrm>
          <a:off x="6305707" y="662637"/>
          <a:ext cx="13978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Avg.Order Value</a:t>
          </a:r>
        </a:p>
      </xdr:txBody>
    </xdr:sp>
    <xdr:clientData/>
  </xdr:oneCellAnchor>
  <xdr:oneCellAnchor>
    <xdr:from>
      <xdr:col>13</xdr:col>
      <xdr:colOff>55420</xdr:colOff>
      <xdr:row>3</xdr:row>
      <xdr:rowOff>89268</xdr:rowOff>
    </xdr:from>
    <xdr:ext cx="1554480" cy="311496"/>
    <xdr:sp macro="" textlink="">
      <xdr:nvSpPr>
        <xdr:cNvPr id="19" name="TextBox 18">
          <a:extLst>
            <a:ext uri="{FF2B5EF4-FFF2-40B4-BE49-F238E27FC236}">
              <a16:creationId xmlns:a16="http://schemas.microsoft.com/office/drawing/2014/main" id="{946F8744-F9B3-B97F-5658-67EA4E149682}"/>
            </a:ext>
          </a:extLst>
        </xdr:cNvPr>
        <xdr:cNvSpPr txBox="1"/>
      </xdr:nvSpPr>
      <xdr:spPr>
        <a:xfrm>
          <a:off x="8145146" y="652939"/>
          <a:ext cx="15544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Avg.Review Rating </a:t>
          </a:r>
        </a:p>
      </xdr:txBody>
    </xdr:sp>
    <xdr:clientData/>
  </xdr:oneCellAnchor>
  <xdr:twoCellAnchor>
    <xdr:from>
      <xdr:col>15</xdr:col>
      <xdr:colOff>604405</xdr:colOff>
      <xdr:row>3</xdr:row>
      <xdr:rowOff>90401</xdr:rowOff>
    </xdr:from>
    <xdr:to>
      <xdr:col>19</xdr:col>
      <xdr:colOff>5469</xdr:colOff>
      <xdr:row>6</xdr:row>
      <xdr:rowOff>117761</xdr:rowOff>
    </xdr:to>
    <xdr:sp macro="" textlink="">
      <xdr:nvSpPr>
        <xdr:cNvPr id="20" name="Rectangle: Rounded Corners 19">
          <a:extLst>
            <a:ext uri="{FF2B5EF4-FFF2-40B4-BE49-F238E27FC236}">
              <a16:creationId xmlns:a16="http://schemas.microsoft.com/office/drawing/2014/main" id="{5EE2CD3B-3F57-4080-ADE1-4AE296847993}"/>
            </a:ext>
          </a:extLst>
        </xdr:cNvPr>
        <xdr:cNvSpPr/>
      </xdr:nvSpPr>
      <xdr:spPr>
        <a:xfrm>
          <a:off x="9912928" y="635924"/>
          <a:ext cx="1825609" cy="572882"/>
        </a:xfrm>
        <a:prstGeom prst="roundRect">
          <a:avLst/>
        </a:prstGeom>
        <a:pattFill prst="pct5">
          <a:fgClr>
            <a:schemeClr val="bg1"/>
          </a:fgClr>
          <a:bgClr>
            <a:schemeClr val="bg1"/>
          </a:bgClr>
        </a:pattFill>
        <a:ln w="158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552698</xdr:colOff>
      <xdr:row>3</xdr:row>
      <xdr:rowOff>85410</xdr:rowOff>
    </xdr:from>
    <xdr:ext cx="1973385" cy="279933"/>
    <xdr:sp macro="" textlink="">
      <xdr:nvSpPr>
        <xdr:cNvPr id="21" name="TextBox 20">
          <a:extLst>
            <a:ext uri="{FF2B5EF4-FFF2-40B4-BE49-F238E27FC236}">
              <a16:creationId xmlns:a16="http://schemas.microsoft.com/office/drawing/2014/main" id="{82054D4A-FF0D-67A6-F16B-B5BA561FD7D8}"/>
            </a:ext>
          </a:extLst>
        </xdr:cNvPr>
        <xdr:cNvSpPr txBox="1"/>
      </xdr:nvSpPr>
      <xdr:spPr>
        <a:xfrm>
          <a:off x="9853273" y="649081"/>
          <a:ext cx="1973385" cy="2799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Avg.Previous Purchases</a:t>
          </a:r>
        </a:p>
      </xdr:txBody>
    </xdr:sp>
    <xdr:clientData/>
  </xdr:oneCellAnchor>
  <xdr:oneCellAnchor>
    <xdr:from>
      <xdr:col>10</xdr:col>
      <xdr:colOff>340393</xdr:colOff>
      <xdr:row>4</xdr:row>
      <xdr:rowOff>110348</xdr:rowOff>
    </xdr:from>
    <xdr:ext cx="1183605" cy="405432"/>
    <xdr:sp macro="" textlink="shopping_behavior_updated!G4">
      <xdr:nvSpPr>
        <xdr:cNvPr id="22" name="TextBox 21">
          <a:extLst>
            <a:ext uri="{FF2B5EF4-FFF2-40B4-BE49-F238E27FC236}">
              <a16:creationId xmlns:a16="http://schemas.microsoft.com/office/drawing/2014/main" id="{5C8E23FD-4A01-7400-80FA-63260CF74A47}"/>
            </a:ext>
          </a:extLst>
        </xdr:cNvPr>
        <xdr:cNvSpPr txBox="1"/>
      </xdr:nvSpPr>
      <xdr:spPr>
        <a:xfrm>
          <a:off x="6394640" y="861910"/>
          <a:ext cx="118360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233B06F-81B7-42C0-9F65-DF787D78625D}" type="TxLink">
            <a:rPr lang="en-US" sz="2000" b="1" i="0" u="none" strike="noStrike">
              <a:solidFill>
                <a:srgbClr val="000000"/>
              </a:solidFill>
              <a:latin typeface="Aptos Narrow"/>
            </a:rPr>
            <a:pPr/>
            <a:t> ₹ 59.76 </a:t>
          </a:fld>
          <a:endParaRPr lang="en-IN" sz="2000" b="1"/>
        </a:p>
      </xdr:txBody>
    </xdr:sp>
    <xdr:clientData/>
  </xdr:oneCellAnchor>
  <xdr:oneCellAnchor>
    <xdr:from>
      <xdr:col>13</xdr:col>
      <xdr:colOff>396242</xdr:colOff>
      <xdr:row>4</xdr:row>
      <xdr:rowOff>123904</xdr:rowOff>
    </xdr:from>
    <xdr:ext cx="982980" cy="405432"/>
    <xdr:sp macro="" textlink="shopping_behavior_updated!E4">
      <xdr:nvSpPr>
        <xdr:cNvPr id="23" name="TextBox 22">
          <a:extLst>
            <a:ext uri="{FF2B5EF4-FFF2-40B4-BE49-F238E27FC236}">
              <a16:creationId xmlns:a16="http://schemas.microsoft.com/office/drawing/2014/main" id="{CD1CDA32-8C9E-41D8-BB84-F6642F914A9F}"/>
            </a:ext>
          </a:extLst>
        </xdr:cNvPr>
        <xdr:cNvSpPr txBox="1"/>
      </xdr:nvSpPr>
      <xdr:spPr>
        <a:xfrm>
          <a:off x="8485968" y="875466"/>
          <a:ext cx="9829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9639906-2C7D-45E6-BFCD-D4D62EFF5469}" type="TxLink">
            <a:rPr lang="en-US" sz="2000" b="1" i="0" u="none" strike="noStrike">
              <a:solidFill>
                <a:srgbClr val="000000"/>
              </a:solidFill>
              <a:latin typeface="Aptos Narrow"/>
            </a:rPr>
            <a:pPr/>
            <a:t>3.75</a:t>
          </a:fld>
          <a:endParaRPr lang="en-IN" sz="2000" b="1"/>
        </a:p>
      </xdr:txBody>
    </xdr:sp>
    <xdr:clientData/>
  </xdr:oneCellAnchor>
  <xdr:oneCellAnchor>
    <xdr:from>
      <xdr:col>16</xdr:col>
      <xdr:colOff>511327</xdr:colOff>
      <xdr:row>4</xdr:row>
      <xdr:rowOff>110648</xdr:rowOff>
    </xdr:from>
    <xdr:ext cx="1310637" cy="405432"/>
    <xdr:sp macro="" textlink="shopping_behavior_updated!F4">
      <xdr:nvSpPr>
        <xdr:cNvPr id="24" name="TextBox 23">
          <a:extLst>
            <a:ext uri="{FF2B5EF4-FFF2-40B4-BE49-F238E27FC236}">
              <a16:creationId xmlns:a16="http://schemas.microsoft.com/office/drawing/2014/main" id="{30F286A6-F8CE-4FA9-95D3-9C0245B3B52E}"/>
            </a:ext>
          </a:extLst>
        </xdr:cNvPr>
        <xdr:cNvSpPr txBox="1"/>
      </xdr:nvSpPr>
      <xdr:spPr>
        <a:xfrm>
          <a:off x="10417327" y="862210"/>
          <a:ext cx="131063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ABB6A9D-844C-4C5F-AD50-AE01D5488AFF}" type="TxLink">
            <a:rPr lang="en-US" sz="2000" b="1" i="0" u="none" strike="noStrike">
              <a:solidFill>
                <a:srgbClr val="000000"/>
              </a:solidFill>
              <a:latin typeface="Aptos Narrow"/>
            </a:rPr>
            <a:pPr/>
            <a:t>25</a:t>
          </a:fld>
          <a:endParaRPr lang="en-US" sz="2000" b="1"/>
        </a:p>
      </xdr:txBody>
    </xdr:sp>
    <xdr:clientData/>
  </xdr:oneCellAnchor>
  <xdr:twoCellAnchor>
    <xdr:from>
      <xdr:col>8</xdr:col>
      <xdr:colOff>320213</xdr:colOff>
      <xdr:row>0</xdr:row>
      <xdr:rowOff>158338</xdr:rowOff>
    </xdr:from>
    <xdr:to>
      <xdr:col>16</xdr:col>
      <xdr:colOff>428625</xdr:colOff>
      <xdr:row>3</xdr:row>
      <xdr:rowOff>29688</xdr:rowOff>
    </xdr:to>
    <xdr:sp macro="" textlink="">
      <xdr:nvSpPr>
        <xdr:cNvPr id="25" name="Rectangle 24">
          <a:extLst>
            <a:ext uri="{FF2B5EF4-FFF2-40B4-BE49-F238E27FC236}">
              <a16:creationId xmlns:a16="http://schemas.microsoft.com/office/drawing/2014/main" id="{114E21E4-AF3D-B346-D921-93C9DC23798D}"/>
            </a:ext>
          </a:extLst>
        </xdr:cNvPr>
        <xdr:cNvSpPr/>
      </xdr:nvSpPr>
      <xdr:spPr>
        <a:xfrm>
          <a:off x="5197013" y="158338"/>
          <a:ext cx="5194762" cy="414275"/>
        </a:xfrm>
        <a:prstGeom prst="rect">
          <a:avLst/>
        </a:prstGeom>
        <a:pattFill prst="pct5">
          <a:fgClr>
            <a:schemeClr val="bg1"/>
          </a:fgClr>
          <a:bgClr>
            <a:schemeClr val="bg1"/>
          </a:bgClr>
        </a:pattFill>
        <a:ln w="158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504701</xdr:colOff>
      <xdr:row>0</xdr:row>
      <xdr:rowOff>168234</xdr:rowOff>
    </xdr:from>
    <xdr:to>
      <xdr:col>22</xdr:col>
      <xdr:colOff>116191</xdr:colOff>
      <xdr:row>3</xdr:row>
      <xdr:rowOff>39295</xdr:rowOff>
    </xdr:to>
    <xdr:sp macro="" textlink="">
      <xdr:nvSpPr>
        <xdr:cNvPr id="27" name="Rectangle 26">
          <a:extLst>
            <a:ext uri="{FF2B5EF4-FFF2-40B4-BE49-F238E27FC236}">
              <a16:creationId xmlns:a16="http://schemas.microsoft.com/office/drawing/2014/main" id="{C1C8D106-3CEF-21E0-58B2-17CF46E0E859}"/>
            </a:ext>
          </a:extLst>
        </xdr:cNvPr>
        <xdr:cNvSpPr/>
      </xdr:nvSpPr>
      <xdr:spPr>
        <a:xfrm>
          <a:off x="10529454" y="168234"/>
          <a:ext cx="3292841" cy="405451"/>
        </a:xfrm>
        <a:prstGeom prst="rect">
          <a:avLst/>
        </a:prstGeom>
        <a:pattFill prst="pct5">
          <a:fgClr>
            <a:schemeClr val="bg1"/>
          </a:fgClr>
          <a:bgClr>
            <a:schemeClr val="bg1"/>
          </a:bgClr>
        </a:pattFill>
        <a:ln w="1587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111183</xdr:colOff>
      <xdr:row>3</xdr:row>
      <xdr:rowOff>129714</xdr:rowOff>
    </xdr:from>
    <xdr:to>
      <xdr:col>22</xdr:col>
      <xdr:colOff>93945</xdr:colOff>
      <xdr:row>12</xdr:row>
      <xdr:rowOff>57522</xdr:rowOff>
    </xdr:to>
    <xdr:sp macro="" textlink="">
      <xdr:nvSpPr>
        <xdr:cNvPr id="28" name="Rectangle 27">
          <a:extLst>
            <a:ext uri="{FF2B5EF4-FFF2-40B4-BE49-F238E27FC236}">
              <a16:creationId xmlns:a16="http://schemas.microsoft.com/office/drawing/2014/main" id="{5E4ACE06-1830-E859-3BC8-FD6EB07C2CAF}"/>
            </a:ext>
          </a:extLst>
        </xdr:cNvPr>
        <xdr:cNvSpPr/>
      </xdr:nvSpPr>
      <xdr:spPr>
        <a:xfrm>
          <a:off x="11862652" y="665495"/>
          <a:ext cx="1804418" cy="1535152"/>
        </a:xfrm>
        <a:prstGeom prst="rect">
          <a:avLst/>
        </a:prstGeom>
        <a:pattFill prst="pct5">
          <a:fgClr>
            <a:schemeClr val="bg1"/>
          </a:fgClr>
          <a:bgClr>
            <a:schemeClr val="bg1"/>
          </a:bgClr>
        </a:pattFill>
        <a:ln w="9525">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121871</xdr:colOff>
      <xdr:row>13</xdr:row>
      <xdr:rowOff>3711</xdr:rowOff>
    </xdr:from>
    <xdr:to>
      <xdr:col>22</xdr:col>
      <xdr:colOff>83507</xdr:colOff>
      <xdr:row>22</xdr:row>
      <xdr:rowOff>43296</xdr:rowOff>
    </xdr:to>
    <xdr:sp macro="" textlink="">
      <xdr:nvSpPr>
        <xdr:cNvPr id="29" name="Rectangle 28">
          <a:extLst>
            <a:ext uri="{FF2B5EF4-FFF2-40B4-BE49-F238E27FC236}">
              <a16:creationId xmlns:a16="http://schemas.microsoft.com/office/drawing/2014/main" id="{C05D593F-D0C7-4A47-A66A-6E35C14B818D}"/>
            </a:ext>
          </a:extLst>
        </xdr:cNvPr>
        <xdr:cNvSpPr/>
      </xdr:nvSpPr>
      <xdr:spPr>
        <a:xfrm>
          <a:off x="11873340" y="2325430"/>
          <a:ext cx="1783292" cy="1646929"/>
        </a:xfrm>
        <a:prstGeom prst="rect">
          <a:avLst/>
        </a:prstGeom>
        <a:pattFill prst="pct5">
          <a:fgClr>
            <a:schemeClr val="bg1"/>
          </a:fgClr>
          <a:bgClr>
            <a:schemeClr val="bg1"/>
          </a:bgClr>
        </a:pattFill>
        <a:ln w="9525">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335755</xdr:colOff>
      <xdr:row>7</xdr:row>
      <xdr:rowOff>47625</xdr:rowOff>
    </xdr:from>
    <xdr:to>
      <xdr:col>7</xdr:col>
      <xdr:colOff>161925</xdr:colOff>
      <xdr:row>22</xdr:row>
      <xdr:rowOff>47625</xdr:rowOff>
    </xdr:to>
    <xdr:sp macro="" textlink="">
      <xdr:nvSpPr>
        <xdr:cNvPr id="31" name="Rectangle: Rounded Corners 30">
          <a:extLst>
            <a:ext uri="{FF2B5EF4-FFF2-40B4-BE49-F238E27FC236}">
              <a16:creationId xmlns:a16="http://schemas.microsoft.com/office/drawing/2014/main" id="{2CC4DE8A-8CCF-9808-0D8B-8B934E1FDDF9}"/>
            </a:ext>
          </a:extLst>
        </xdr:cNvPr>
        <xdr:cNvSpPr/>
      </xdr:nvSpPr>
      <xdr:spPr>
        <a:xfrm>
          <a:off x="335755" y="1314450"/>
          <a:ext cx="4093370" cy="2714625"/>
        </a:xfrm>
        <a:prstGeom prst="roundRect">
          <a:avLst>
            <a:gd name="adj" fmla="val 3597"/>
          </a:avLst>
        </a:prstGeom>
        <a:solidFill>
          <a:schemeClr val="bg1"/>
        </a:solidFill>
        <a:ln w="22225">
          <a:solidFill>
            <a:schemeClr val="bg2">
              <a:lumMod val="75000"/>
            </a:schemeClr>
          </a:solidFill>
        </a:ln>
        <a:effectLst>
          <a:outerShdw blurRad="101600" dist="254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171450</xdr:colOff>
      <xdr:row>8</xdr:row>
      <xdr:rowOff>147605</xdr:rowOff>
    </xdr:from>
    <xdr:to>
      <xdr:col>7</xdr:col>
      <xdr:colOff>161925</xdr:colOff>
      <xdr:row>19</xdr:row>
      <xdr:rowOff>155225</xdr:rowOff>
    </xdr:to>
    <xdr:graphicFrame macro="">
      <xdr:nvGraphicFramePr>
        <xdr:cNvPr id="33" name="Chart 32">
          <a:extLst>
            <a:ext uri="{FF2B5EF4-FFF2-40B4-BE49-F238E27FC236}">
              <a16:creationId xmlns:a16="http://schemas.microsoft.com/office/drawing/2014/main" id="{3C197E0D-1DD7-4B7F-BD27-E81219DA7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361950</xdr:colOff>
      <xdr:row>8</xdr:row>
      <xdr:rowOff>152400</xdr:rowOff>
    </xdr:from>
    <xdr:to>
      <xdr:col>3</xdr:col>
      <xdr:colOff>238124</xdr:colOff>
      <xdr:row>19</xdr:row>
      <xdr:rowOff>19050</xdr:rowOff>
    </xdr:to>
    <xdr:graphicFrame macro="">
      <xdr:nvGraphicFramePr>
        <xdr:cNvPr id="34" name="Chart 33">
          <a:extLst>
            <a:ext uri="{FF2B5EF4-FFF2-40B4-BE49-F238E27FC236}">
              <a16:creationId xmlns:a16="http://schemas.microsoft.com/office/drawing/2014/main" id="{A0F8308A-64D4-4F75-BC41-5B72A437F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303068</xdr:colOff>
      <xdr:row>7</xdr:row>
      <xdr:rowOff>121227</xdr:rowOff>
    </xdr:from>
    <xdr:ext cx="2147453" cy="311496"/>
    <xdr:sp macro="" textlink="">
      <xdr:nvSpPr>
        <xdr:cNvPr id="35" name="TextBox 34">
          <a:extLst>
            <a:ext uri="{FF2B5EF4-FFF2-40B4-BE49-F238E27FC236}">
              <a16:creationId xmlns:a16="http://schemas.microsoft.com/office/drawing/2014/main" id="{A186FAE4-57AB-9801-480C-BD70733DC926}"/>
            </a:ext>
          </a:extLst>
        </xdr:cNvPr>
        <xdr:cNvSpPr txBox="1"/>
      </xdr:nvSpPr>
      <xdr:spPr>
        <a:xfrm>
          <a:off x="1530185" y="1368136"/>
          <a:ext cx="21474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Category Wise Sales</a:t>
          </a:r>
        </a:p>
      </xdr:txBody>
    </xdr:sp>
    <xdr:clientData/>
  </xdr:oneCellAnchor>
  <xdr:oneCellAnchor>
    <xdr:from>
      <xdr:col>1</xdr:col>
      <xdr:colOff>476251</xdr:colOff>
      <xdr:row>20</xdr:row>
      <xdr:rowOff>43294</xdr:rowOff>
    </xdr:from>
    <xdr:ext cx="1255567" cy="311728"/>
    <xdr:sp macro="" textlink="">
      <xdr:nvSpPr>
        <xdr:cNvPr id="36" name="TextBox 35">
          <a:extLst>
            <a:ext uri="{FF2B5EF4-FFF2-40B4-BE49-F238E27FC236}">
              <a16:creationId xmlns:a16="http://schemas.microsoft.com/office/drawing/2014/main" id="{99A11E51-9DB7-B2CB-FAB2-293A52951E4A}"/>
            </a:ext>
          </a:extLst>
        </xdr:cNvPr>
        <xdr:cNvSpPr txBox="1"/>
      </xdr:nvSpPr>
      <xdr:spPr>
        <a:xfrm>
          <a:off x="1082387" y="3680112"/>
          <a:ext cx="1255567" cy="311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Transaction</a:t>
          </a:r>
        </a:p>
        <a:p>
          <a:endParaRPr lang="en-IN" sz="1100" b="1"/>
        </a:p>
        <a:p>
          <a:endParaRPr lang="en-IN" sz="1100"/>
        </a:p>
      </xdr:txBody>
    </xdr:sp>
    <xdr:clientData/>
  </xdr:oneCellAnchor>
  <xdr:oneCellAnchor>
    <xdr:from>
      <xdr:col>4</xdr:col>
      <xdr:colOff>242455</xdr:colOff>
      <xdr:row>20</xdr:row>
      <xdr:rowOff>51956</xdr:rowOff>
    </xdr:from>
    <xdr:ext cx="935182" cy="436786"/>
    <xdr:sp macro="" textlink="">
      <xdr:nvSpPr>
        <xdr:cNvPr id="37" name="TextBox 36">
          <a:extLst>
            <a:ext uri="{FF2B5EF4-FFF2-40B4-BE49-F238E27FC236}">
              <a16:creationId xmlns:a16="http://schemas.microsoft.com/office/drawing/2014/main" id="{3FF211BE-8A44-D1C5-C4E8-4EF329A8CF99}"/>
            </a:ext>
          </a:extLst>
        </xdr:cNvPr>
        <xdr:cNvSpPr txBox="1"/>
      </xdr:nvSpPr>
      <xdr:spPr>
        <a:xfrm>
          <a:off x="2667000" y="3688774"/>
          <a:ext cx="93518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Revenue</a:t>
          </a:r>
        </a:p>
        <a:p>
          <a:endParaRPr lang="en-IN" sz="1100"/>
        </a:p>
      </xdr:txBody>
    </xdr:sp>
    <xdr:clientData/>
  </xdr:oneCellAnchor>
  <xdr:twoCellAnchor>
    <xdr:from>
      <xdr:col>1</xdr:col>
      <xdr:colOff>355024</xdr:colOff>
      <xdr:row>20</xdr:row>
      <xdr:rowOff>112567</xdr:rowOff>
    </xdr:from>
    <xdr:to>
      <xdr:col>1</xdr:col>
      <xdr:colOff>493569</xdr:colOff>
      <xdr:row>21</xdr:row>
      <xdr:rowOff>86589</xdr:rowOff>
    </xdr:to>
    <xdr:sp macro="" textlink="">
      <xdr:nvSpPr>
        <xdr:cNvPr id="38" name="Diamond 37">
          <a:extLst>
            <a:ext uri="{FF2B5EF4-FFF2-40B4-BE49-F238E27FC236}">
              <a16:creationId xmlns:a16="http://schemas.microsoft.com/office/drawing/2014/main" id="{8C624ECD-FE5E-8D4F-FC93-C3117EA5CF4D}"/>
            </a:ext>
          </a:extLst>
        </xdr:cNvPr>
        <xdr:cNvSpPr/>
      </xdr:nvSpPr>
      <xdr:spPr>
        <a:xfrm>
          <a:off x="961160" y="3749385"/>
          <a:ext cx="138545" cy="155863"/>
        </a:xfrm>
        <a:prstGeom prst="diamon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121226</xdr:colOff>
      <xdr:row>20</xdr:row>
      <xdr:rowOff>103909</xdr:rowOff>
    </xdr:from>
    <xdr:to>
      <xdr:col>4</xdr:col>
      <xdr:colOff>261626</xdr:colOff>
      <xdr:row>21</xdr:row>
      <xdr:rowOff>76868</xdr:rowOff>
    </xdr:to>
    <xdr:sp macro="" textlink="">
      <xdr:nvSpPr>
        <xdr:cNvPr id="39" name="Diamond 38">
          <a:extLst>
            <a:ext uri="{FF2B5EF4-FFF2-40B4-BE49-F238E27FC236}">
              <a16:creationId xmlns:a16="http://schemas.microsoft.com/office/drawing/2014/main" id="{E58B21A4-88C4-4E43-B197-C7955B9F4355}"/>
            </a:ext>
          </a:extLst>
        </xdr:cNvPr>
        <xdr:cNvSpPr/>
      </xdr:nvSpPr>
      <xdr:spPr>
        <a:xfrm>
          <a:off x="2545771" y="3740727"/>
          <a:ext cx="140400" cy="154800"/>
        </a:xfrm>
        <a:prstGeom prst="diamon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251114</xdr:colOff>
      <xdr:row>7</xdr:row>
      <xdr:rowOff>34636</xdr:rowOff>
    </xdr:from>
    <xdr:to>
      <xdr:col>19</xdr:col>
      <xdr:colOff>34637</xdr:colOff>
      <xdr:row>22</xdr:row>
      <xdr:rowOff>47624</xdr:rowOff>
    </xdr:to>
    <xdr:sp macro="" textlink="">
      <xdr:nvSpPr>
        <xdr:cNvPr id="41" name="Rectangle: Rounded Corners 40">
          <a:extLst>
            <a:ext uri="{FF2B5EF4-FFF2-40B4-BE49-F238E27FC236}">
              <a16:creationId xmlns:a16="http://schemas.microsoft.com/office/drawing/2014/main" id="{595D9E90-96DB-4BF7-85E8-321374909874}"/>
            </a:ext>
          </a:extLst>
        </xdr:cNvPr>
        <xdr:cNvSpPr/>
      </xdr:nvSpPr>
      <xdr:spPr>
        <a:xfrm>
          <a:off x="4501645" y="1284792"/>
          <a:ext cx="7284461" cy="2691895"/>
        </a:xfrm>
        <a:prstGeom prst="roundRect">
          <a:avLst>
            <a:gd name="adj" fmla="val 3597"/>
          </a:avLst>
        </a:prstGeom>
        <a:solidFill>
          <a:schemeClr val="bg1"/>
        </a:solidFill>
        <a:ln w="22225">
          <a:solidFill>
            <a:schemeClr val="bg2">
              <a:lumMod val="75000"/>
            </a:schemeClr>
          </a:solidFill>
          <a:extLst>
            <a:ext uri="{C807C97D-BFC1-408E-A445-0C87EB9F89A2}">
              <ask:lineSketchStyleProps xmlns:ask="http://schemas.microsoft.com/office/drawing/2018/sketchyshapes" sd="1219033472">
                <a:custGeom>
                  <a:avLst/>
                  <a:gdLst>
                    <a:gd name="csX0" fmla="*/ 0 w 7284461"/>
                    <a:gd name="csY0" fmla="*/ 96827 h 2691895"/>
                    <a:gd name="csX1" fmla="*/ 96827 w 7284461"/>
                    <a:gd name="csY1" fmla="*/ 0 h 2691895"/>
                    <a:gd name="csX2" fmla="*/ 7187634 w 7284461"/>
                    <a:gd name="csY2" fmla="*/ 0 h 2691895"/>
                    <a:gd name="csX3" fmla="*/ 7284461 w 7284461"/>
                    <a:gd name="csY3" fmla="*/ 96827 h 2691895"/>
                    <a:gd name="csX4" fmla="*/ 7284461 w 7284461"/>
                    <a:gd name="csY4" fmla="*/ 2595068 h 2691895"/>
                    <a:gd name="csX5" fmla="*/ 7187634 w 7284461"/>
                    <a:gd name="csY5" fmla="*/ 2691895 h 2691895"/>
                    <a:gd name="csX6" fmla="*/ 96827 w 7284461"/>
                    <a:gd name="csY6" fmla="*/ 2691895 h 2691895"/>
                    <a:gd name="csX7" fmla="*/ 0 w 7284461"/>
                    <a:gd name="csY7" fmla="*/ 2595068 h 2691895"/>
                    <a:gd name="csX8" fmla="*/ 0 w 7284461"/>
                    <a:gd name="csY8" fmla="*/ 96827 h 269189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284461" h="2691895" fill="none" extrusionOk="0">
                      <a:moveTo>
                        <a:pt x="0" y="96827"/>
                      </a:moveTo>
                      <a:cubicBezTo>
                        <a:pt x="-1705" y="43075"/>
                        <a:pt x="46165" y="2301"/>
                        <a:pt x="96827" y="0"/>
                      </a:cubicBezTo>
                      <a:cubicBezTo>
                        <a:pt x="3353138" y="130954"/>
                        <a:pt x="4437299" y="43574"/>
                        <a:pt x="7187634" y="0"/>
                      </a:cubicBezTo>
                      <a:cubicBezTo>
                        <a:pt x="7241507" y="612"/>
                        <a:pt x="7285168" y="44217"/>
                        <a:pt x="7284461" y="96827"/>
                      </a:cubicBezTo>
                      <a:cubicBezTo>
                        <a:pt x="7134022" y="650884"/>
                        <a:pt x="7370340" y="1367449"/>
                        <a:pt x="7284461" y="2595068"/>
                      </a:cubicBezTo>
                      <a:cubicBezTo>
                        <a:pt x="7281407" y="2649045"/>
                        <a:pt x="7232975" y="2686282"/>
                        <a:pt x="7187634" y="2691895"/>
                      </a:cubicBezTo>
                      <a:cubicBezTo>
                        <a:pt x="5717276" y="2847092"/>
                        <a:pt x="1161168" y="2854915"/>
                        <a:pt x="96827" y="2691895"/>
                      </a:cubicBezTo>
                      <a:cubicBezTo>
                        <a:pt x="43749" y="2686506"/>
                        <a:pt x="-6806" y="2652518"/>
                        <a:pt x="0" y="2595068"/>
                      </a:cubicBezTo>
                      <a:cubicBezTo>
                        <a:pt x="64656" y="2271437"/>
                        <a:pt x="-17807" y="1191160"/>
                        <a:pt x="0" y="96827"/>
                      </a:cubicBezTo>
                      <a:close/>
                    </a:path>
                    <a:path w="7284461" h="2691895" stroke="0" extrusionOk="0">
                      <a:moveTo>
                        <a:pt x="0" y="96827"/>
                      </a:moveTo>
                      <a:cubicBezTo>
                        <a:pt x="-2268" y="41952"/>
                        <a:pt x="39389" y="1487"/>
                        <a:pt x="96827" y="0"/>
                      </a:cubicBezTo>
                      <a:cubicBezTo>
                        <a:pt x="1535043" y="132882"/>
                        <a:pt x="5132527" y="-84951"/>
                        <a:pt x="7187634" y="0"/>
                      </a:cubicBezTo>
                      <a:cubicBezTo>
                        <a:pt x="7237267" y="3753"/>
                        <a:pt x="7283925" y="46316"/>
                        <a:pt x="7284461" y="96827"/>
                      </a:cubicBezTo>
                      <a:cubicBezTo>
                        <a:pt x="7304648" y="1038586"/>
                        <a:pt x="7436941" y="1923981"/>
                        <a:pt x="7284461" y="2595068"/>
                      </a:cubicBezTo>
                      <a:cubicBezTo>
                        <a:pt x="7285575" y="2648676"/>
                        <a:pt x="7244641" y="2684628"/>
                        <a:pt x="7187634" y="2691895"/>
                      </a:cubicBezTo>
                      <a:cubicBezTo>
                        <a:pt x="4720803" y="2779534"/>
                        <a:pt x="2539076" y="2619216"/>
                        <a:pt x="96827" y="2691895"/>
                      </a:cubicBezTo>
                      <a:cubicBezTo>
                        <a:pt x="43060" y="2689116"/>
                        <a:pt x="-4061" y="2654187"/>
                        <a:pt x="0" y="2595068"/>
                      </a:cubicBezTo>
                      <a:cubicBezTo>
                        <a:pt x="-38581" y="1448791"/>
                        <a:pt x="63341" y="915527"/>
                        <a:pt x="0" y="96827"/>
                      </a:cubicBezTo>
                      <a:close/>
                    </a:path>
                  </a:pathLst>
                </a:custGeom>
                <ask:type>
                  <ask:lineSketchNone/>
                </ask:type>
              </ask:lineSketchStyleProps>
            </a:ext>
          </a:extLst>
        </a:ln>
        <a:effectLst>
          <a:outerShdw blurRad="101600" dist="254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727364</xdr:colOff>
      <xdr:row>7</xdr:row>
      <xdr:rowOff>43295</xdr:rowOff>
    </xdr:from>
    <xdr:to>
      <xdr:col>12</xdr:col>
      <xdr:colOff>736022</xdr:colOff>
      <xdr:row>21</xdr:row>
      <xdr:rowOff>164523</xdr:rowOff>
    </xdr:to>
    <xdr:cxnSp macro="">
      <xdr:nvCxnSpPr>
        <xdr:cNvPr id="26" name="Straight Connector 25">
          <a:extLst>
            <a:ext uri="{FF2B5EF4-FFF2-40B4-BE49-F238E27FC236}">
              <a16:creationId xmlns:a16="http://schemas.microsoft.com/office/drawing/2014/main" id="{99B0BE9F-8060-1332-A52D-077CDF103490}"/>
            </a:ext>
          </a:extLst>
        </xdr:cNvPr>
        <xdr:cNvCxnSpPr/>
      </xdr:nvCxnSpPr>
      <xdr:spPr>
        <a:xfrm flipH="1">
          <a:off x="8001000" y="1316181"/>
          <a:ext cx="8658" cy="2667001"/>
        </a:xfrm>
        <a:prstGeom prst="line">
          <a:avLst/>
        </a:prstGeom>
        <a:ln w="25400">
          <a:solidFill>
            <a:schemeClr val="bg2">
              <a:lumMod val="90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oneCellAnchor>
    <xdr:from>
      <xdr:col>8</xdr:col>
      <xdr:colOff>406977</xdr:colOff>
      <xdr:row>8</xdr:row>
      <xdr:rowOff>77932</xdr:rowOff>
    </xdr:from>
    <xdr:ext cx="184731" cy="264560"/>
    <xdr:sp macro="" textlink="">
      <xdr:nvSpPr>
        <xdr:cNvPr id="46" name="TextBox 45">
          <a:extLst>
            <a:ext uri="{FF2B5EF4-FFF2-40B4-BE49-F238E27FC236}">
              <a16:creationId xmlns:a16="http://schemas.microsoft.com/office/drawing/2014/main" id="{0ADFC7B0-47C2-1326-7B15-3FB965932F90}"/>
            </a:ext>
          </a:extLst>
        </xdr:cNvPr>
        <xdr:cNvSpPr txBox="1"/>
      </xdr:nvSpPr>
      <xdr:spPr>
        <a:xfrm>
          <a:off x="5256068" y="15326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8</xdr:col>
      <xdr:colOff>259772</xdr:colOff>
      <xdr:row>7</xdr:row>
      <xdr:rowOff>86591</xdr:rowOff>
    </xdr:from>
    <xdr:ext cx="2078181" cy="355023"/>
    <xdr:sp macro="" textlink="">
      <xdr:nvSpPr>
        <xdr:cNvPr id="47" name="TextBox 46">
          <a:extLst>
            <a:ext uri="{FF2B5EF4-FFF2-40B4-BE49-F238E27FC236}">
              <a16:creationId xmlns:a16="http://schemas.microsoft.com/office/drawing/2014/main" id="{9D770103-A1BE-CDCB-C7CE-E009B15B4564}"/>
            </a:ext>
          </a:extLst>
        </xdr:cNvPr>
        <xdr:cNvSpPr txBox="1"/>
      </xdr:nvSpPr>
      <xdr:spPr>
        <a:xfrm>
          <a:off x="5108863" y="1359477"/>
          <a:ext cx="2078181"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8</xdr:col>
      <xdr:colOff>303068</xdr:colOff>
      <xdr:row>7</xdr:row>
      <xdr:rowOff>129887</xdr:rowOff>
    </xdr:from>
    <xdr:ext cx="2684319" cy="303068"/>
    <xdr:sp macro="" textlink="">
      <xdr:nvSpPr>
        <xdr:cNvPr id="48" name="TextBox 47">
          <a:extLst>
            <a:ext uri="{FF2B5EF4-FFF2-40B4-BE49-F238E27FC236}">
              <a16:creationId xmlns:a16="http://schemas.microsoft.com/office/drawing/2014/main" id="{95F2E907-89BE-17A8-732C-D2BDA50E9977}"/>
            </a:ext>
          </a:extLst>
        </xdr:cNvPr>
        <xdr:cNvSpPr txBox="1"/>
      </xdr:nvSpPr>
      <xdr:spPr>
        <a:xfrm>
          <a:off x="5152159" y="1402773"/>
          <a:ext cx="2684319" cy="303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Gendre Wise</a:t>
          </a:r>
          <a:r>
            <a:rPr lang="en-IN" sz="1400" b="1" baseline="0"/>
            <a:t> sales Contribution</a:t>
          </a:r>
          <a:endParaRPr lang="en-IN" sz="1400" b="1"/>
        </a:p>
      </xdr:txBody>
    </xdr:sp>
    <xdr:clientData/>
  </xdr:oneCellAnchor>
  <xdr:oneCellAnchor>
    <xdr:from>
      <xdr:col>14</xdr:col>
      <xdr:colOff>237506</xdr:colOff>
      <xdr:row>7</xdr:row>
      <xdr:rowOff>92776</xdr:rowOff>
    </xdr:from>
    <xdr:ext cx="2305793" cy="311496"/>
    <xdr:sp macro="" textlink="">
      <xdr:nvSpPr>
        <xdr:cNvPr id="49" name="TextBox 48">
          <a:extLst>
            <a:ext uri="{FF2B5EF4-FFF2-40B4-BE49-F238E27FC236}">
              <a16:creationId xmlns:a16="http://schemas.microsoft.com/office/drawing/2014/main" id="{672AD328-7252-2E94-4A13-9E7BCEAEEB98}"/>
            </a:ext>
          </a:extLst>
        </xdr:cNvPr>
        <xdr:cNvSpPr txBox="1"/>
      </xdr:nvSpPr>
      <xdr:spPr>
        <a:xfrm>
          <a:off x="9035142" y="1339685"/>
          <a:ext cx="23057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Size wise Sales Contribution</a:t>
          </a:r>
        </a:p>
      </xdr:txBody>
    </xdr:sp>
    <xdr:clientData/>
  </xdr:oneCellAnchor>
  <xdr:oneCellAnchor>
    <xdr:from>
      <xdr:col>5</xdr:col>
      <xdr:colOff>544286</xdr:colOff>
      <xdr:row>28</xdr:row>
      <xdr:rowOff>138545</xdr:rowOff>
    </xdr:from>
    <xdr:ext cx="821377" cy="346364"/>
    <xdr:sp macro="" textlink="">
      <xdr:nvSpPr>
        <xdr:cNvPr id="56" name="TextBox 55">
          <a:extLst>
            <a:ext uri="{FF2B5EF4-FFF2-40B4-BE49-F238E27FC236}">
              <a16:creationId xmlns:a16="http://schemas.microsoft.com/office/drawing/2014/main" id="{8813307D-3721-FD4A-7922-2777ADFAB31B}"/>
            </a:ext>
          </a:extLst>
        </xdr:cNvPr>
        <xdr:cNvSpPr txBox="1"/>
      </xdr:nvSpPr>
      <xdr:spPr>
        <a:xfrm>
          <a:off x="3612078" y="5126181"/>
          <a:ext cx="821377" cy="3463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editAs="oneCell">
    <xdr:from>
      <xdr:col>8</xdr:col>
      <xdr:colOff>374565</xdr:colOff>
      <xdr:row>1</xdr:row>
      <xdr:rowOff>9525</xdr:rowOff>
    </xdr:from>
    <xdr:to>
      <xdr:col>16</xdr:col>
      <xdr:colOff>419101</xdr:colOff>
      <xdr:row>3</xdr:row>
      <xdr:rowOff>19050</xdr:rowOff>
    </xdr:to>
    <mc:AlternateContent xmlns:mc="http://schemas.openxmlformats.org/markup-compatibility/2006" xmlns:a14="http://schemas.microsoft.com/office/drawing/2010/main">
      <mc:Choice Requires="a14">
        <xdr:graphicFrame macro="">
          <xdr:nvGraphicFramePr>
            <xdr:cNvPr id="61" name="Category">
              <a:extLst>
                <a:ext uri="{FF2B5EF4-FFF2-40B4-BE49-F238E27FC236}">
                  <a16:creationId xmlns:a16="http://schemas.microsoft.com/office/drawing/2014/main" id="{16E54D11-263D-40FA-9825-D792916DDF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51365" y="190500"/>
              <a:ext cx="5130886" cy="371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535400</xdr:colOff>
      <xdr:row>1</xdr:row>
      <xdr:rowOff>29688</xdr:rowOff>
    </xdr:from>
    <xdr:to>
      <xdr:col>22</xdr:col>
      <xdr:colOff>78075</xdr:colOff>
      <xdr:row>3</xdr:row>
      <xdr:rowOff>9896</xdr:rowOff>
    </xdr:to>
    <mc:AlternateContent xmlns:mc="http://schemas.openxmlformats.org/markup-compatibility/2006" xmlns:a14="http://schemas.microsoft.com/office/drawing/2010/main">
      <mc:Choice Requires="a14">
        <xdr:graphicFrame macro="">
          <xdr:nvGraphicFramePr>
            <xdr:cNvPr id="62" name="Gender">
              <a:extLst>
                <a:ext uri="{FF2B5EF4-FFF2-40B4-BE49-F238E27FC236}">
                  <a16:creationId xmlns:a16="http://schemas.microsoft.com/office/drawing/2014/main" id="{CAC96D28-9E53-44CB-9DD5-04558BE89E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41400" y="217578"/>
              <a:ext cx="3175223" cy="355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158337</xdr:colOff>
      <xdr:row>12</xdr:row>
      <xdr:rowOff>148441</xdr:rowOff>
    </xdr:from>
    <xdr:to>
      <xdr:col>22</xdr:col>
      <xdr:colOff>20877</xdr:colOff>
      <xdr:row>21</xdr:row>
      <xdr:rowOff>128650</xdr:rowOff>
    </xdr:to>
    <mc:AlternateContent xmlns:mc="http://schemas.openxmlformats.org/markup-compatibility/2006" xmlns:a14="http://schemas.microsoft.com/office/drawing/2010/main">
      <mc:Choice Requires="a14">
        <xdr:graphicFrame macro="">
          <xdr:nvGraphicFramePr>
            <xdr:cNvPr id="63" name="Size">
              <a:extLst>
                <a:ext uri="{FF2B5EF4-FFF2-40B4-BE49-F238E27FC236}">
                  <a16:creationId xmlns:a16="http://schemas.microsoft.com/office/drawing/2014/main" id="{E0832B2E-F284-4593-A882-EF7044813CF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880611" y="2403126"/>
              <a:ext cx="1606694" cy="1671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148440</xdr:colOff>
      <xdr:row>3</xdr:row>
      <xdr:rowOff>118753</xdr:rowOff>
    </xdr:from>
    <xdr:to>
      <xdr:col>22</xdr:col>
      <xdr:colOff>52191</xdr:colOff>
      <xdr:row>11</xdr:row>
      <xdr:rowOff>156575</xdr:rowOff>
    </xdr:to>
    <mc:AlternateContent xmlns:mc="http://schemas.openxmlformats.org/markup-compatibility/2006" xmlns:a14="http://schemas.microsoft.com/office/drawing/2010/main">
      <mc:Choice Requires="a14">
        <xdr:graphicFrame macro="">
          <xdr:nvGraphicFramePr>
            <xdr:cNvPr id="69" name="Season">
              <a:extLst>
                <a:ext uri="{FF2B5EF4-FFF2-40B4-BE49-F238E27FC236}">
                  <a16:creationId xmlns:a16="http://schemas.microsoft.com/office/drawing/2014/main" id="{7B275E06-811B-4B16-8BA7-A2E6EE1B852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870715" y="682424"/>
              <a:ext cx="1636382" cy="1503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53164</xdr:colOff>
      <xdr:row>9</xdr:row>
      <xdr:rowOff>49336</xdr:rowOff>
    </xdr:from>
    <xdr:to>
      <xdr:col>18</xdr:col>
      <xdr:colOff>567070</xdr:colOff>
      <xdr:row>21</xdr:row>
      <xdr:rowOff>62023</xdr:rowOff>
    </xdr:to>
    <xdr:graphicFrame macro="">
      <xdr:nvGraphicFramePr>
        <xdr:cNvPr id="32" name="Chart 31">
          <a:extLst>
            <a:ext uri="{FF2B5EF4-FFF2-40B4-BE49-F238E27FC236}">
              <a16:creationId xmlns:a16="http://schemas.microsoft.com/office/drawing/2014/main" id="{974F600F-0A5E-4483-BE1E-F92627C3B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274675</xdr:colOff>
      <xdr:row>22</xdr:row>
      <xdr:rowOff>133457</xdr:rowOff>
    </xdr:from>
    <xdr:to>
      <xdr:col>13</xdr:col>
      <xdr:colOff>524650</xdr:colOff>
      <xdr:row>38</xdr:row>
      <xdr:rowOff>44824</xdr:rowOff>
    </xdr:to>
    <xdr:sp macro="" textlink="">
      <xdr:nvSpPr>
        <xdr:cNvPr id="2" name="Rectangle: Rounded Corners 1">
          <a:extLst>
            <a:ext uri="{FF2B5EF4-FFF2-40B4-BE49-F238E27FC236}">
              <a16:creationId xmlns:a16="http://schemas.microsoft.com/office/drawing/2014/main" id="{B4652FDC-0140-470A-BC11-A441CE438D36}"/>
            </a:ext>
          </a:extLst>
        </xdr:cNvPr>
        <xdr:cNvSpPr/>
      </xdr:nvSpPr>
      <xdr:spPr>
        <a:xfrm>
          <a:off x="4510499" y="4077928"/>
          <a:ext cx="4093592" cy="2802484"/>
        </a:xfrm>
        <a:prstGeom prst="roundRect">
          <a:avLst>
            <a:gd name="adj" fmla="val 3597"/>
          </a:avLst>
        </a:prstGeom>
        <a:solidFill>
          <a:schemeClr val="bg1"/>
        </a:solidFill>
        <a:ln w="22225">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487325</xdr:colOff>
      <xdr:row>22</xdr:row>
      <xdr:rowOff>115185</xdr:rowOff>
    </xdr:from>
    <xdr:ext cx="1896139" cy="310116"/>
    <xdr:sp macro="" textlink="">
      <xdr:nvSpPr>
        <xdr:cNvPr id="30" name="TextBox 29">
          <a:extLst>
            <a:ext uri="{FF2B5EF4-FFF2-40B4-BE49-F238E27FC236}">
              <a16:creationId xmlns:a16="http://schemas.microsoft.com/office/drawing/2014/main" id="{946A4C79-BB8C-1090-2B22-98335827B7F1}"/>
            </a:ext>
          </a:extLst>
        </xdr:cNvPr>
        <xdr:cNvSpPr txBox="1"/>
      </xdr:nvSpPr>
      <xdr:spPr>
        <a:xfrm>
          <a:off x="5989674" y="4208720"/>
          <a:ext cx="1896139" cy="310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Payment</a:t>
          </a:r>
          <a:r>
            <a:rPr lang="en-IN" sz="1400" b="1" baseline="0"/>
            <a:t> Method</a:t>
          </a:r>
        </a:p>
        <a:p>
          <a:endParaRPr lang="en-IN" sz="1100" b="1"/>
        </a:p>
      </xdr:txBody>
    </xdr:sp>
    <xdr:clientData/>
  </xdr:oneCellAnchor>
  <xdr:twoCellAnchor>
    <xdr:from>
      <xdr:col>7</xdr:col>
      <xdr:colOff>274673</xdr:colOff>
      <xdr:row>22</xdr:row>
      <xdr:rowOff>53163</xdr:rowOff>
    </xdr:from>
    <xdr:to>
      <xdr:col>13</xdr:col>
      <xdr:colOff>584787</xdr:colOff>
      <xdr:row>36</xdr:row>
      <xdr:rowOff>70884</xdr:rowOff>
    </xdr:to>
    <xdr:graphicFrame macro="">
      <xdr:nvGraphicFramePr>
        <xdr:cNvPr id="42" name="Chart 41">
          <a:extLst>
            <a:ext uri="{FF2B5EF4-FFF2-40B4-BE49-F238E27FC236}">
              <a16:creationId xmlns:a16="http://schemas.microsoft.com/office/drawing/2014/main" id="{11269769-7C71-4D43-8D60-4A0973310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310115</xdr:colOff>
      <xdr:row>22</xdr:row>
      <xdr:rowOff>154226</xdr:rowOff>
    </xdr:from>
    <xdr:to>
      <xdr:col>7</xdr:col>
      <xdr:colOff>166688</xdr:colOff>
      <xdr:row>38</xdr:row>
      <xdr:rowOff>22412</xdr:rowOff>
    </xdr:to>
    <xdr:sp macro="" textlink="">
      <xdr:nvSpPr>
        <xdr:cNvPr id="45" name="Rectangle: Rounded Corners 44">
          <a:extLst>
            <a:ext uri="{FF2B5EF4-FFF2-40B4-BE49-F238E27FC236}">
              <a16:creationId xmlns:a16="http://schemas.microsoft.com/office/drawing/2014/main" id="{E4ECD244-198D-7E0A-EE3B-53DADF8AF948}"/>
            </a:ext>
          </a:extLst>
        </xdr:cNvPr>
        <xdr:cNvSpPr/>
      </xdr:nvSpPr>
      <xdr:spPr>
        <a:xfrm>
          <a:off x="310115" y="4098697"/>
          <a:ext cx="4092397" cy="2759303"/>
        </a:xfrm>
        <a:prstGeom prst="roundRect">
          <a:avLst>
            <a:gd name="adj" fmla="val 3257"/>
          </a:avLst>
        </a:prstGeom>
        <a:pattFill prst="pct5">
          <a:fgClr>
            <a:schemeClr val="bg1"/>
          </a:fgClr>
          <a:bgClr>
            <a:schemeClr val="bg1"/>
          </a:bgClr>
        </a:pattFill>
        <a:ln w="22225">
          <a:solidFill>
            <a:schemeClr val="bg2">
              <a:lumMod val="75000"/>
            </a:schemeClr>
          </a:solidFill>
        </a:ln>
        <a:effectLst>
          <a:outerShdw blurRad="101600" dist="254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39139</xdr:colOff>
      <xdr:row>22</xdr:row>
      <xdr:rowOff>127369</xdr:rowOff>
    </xdr:from>
    <xdr:to>
      <xdr:col>22</xdr:col>
      <xdr:colOff>118882</xdr:colOff>
      <xdr:row>38</xdr:row>
      <xdr:rowOff>67236</xdr:rowOff>
    </xdr:to>
    <xdr:sp macro="" textlink="">
      <xdr:nvSpPr>
        <xdr:cNvPr id="50" name="Rectangle: Rounded Corners 49">
          <a:extLst>
            <a:ext uri="{FF2B5EF4-FFF2-40B4-BE49-F238E27FC236}">
              <a16:creationId xmlns:a16="http://schemas.microsoft.com/office/drawing/2014/main" id="{4A73C03A-52F6-4CFA-A2A0-B62CDD667D94}"/>
            </a:ext>
          </a:extLst>
        </xdr:cNvPr>
        <xdr:cNvSpPr/>
      </xdr:nvSpPr>
      <xdr:spPr>
        <a:xfrm>
          <a:off x="8783089" y="4108819"/>
          <a:ext cx="4956543" cy="2854517"/>
        </a:xfrm>
        <a:prstGeom prst="roundRect">
          <a:avLst>
            <a:gd name="adj" fmla="val 3257"/>
          </a:avLst>
        </a:prstGeom>
        <a:solidFill>
          <a:schemeClr val="bg1"/>
        </a:solidFill>
        <a:ln w="22225">
          <a:solidFill>
            <a:schemeClr val="bg2">
              <a:lumMod val="75000"/>
            </a:schemeClr>
          </a:solidFill>
        </a:ln>
        <a:effectLst>
          <a:outerShdw blurRad="101600" dist="254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292394</xdr:colOff>
      <xdr:row>22</xdr:row>
      <xdr:rowOff>177483</xdr:rowOff>
    </xdr:from>
    <xdr:ext cx="3278372" cy="283537"/>
    <xdr:sp macro="" textlink="">
      <xdr:nvSpPr>
        <xdr:cNvPr id="53" name="TextBox 52">
          <a:extLst>
            <a:ext uri="{FF2B5EF4-FFF2-40B4-BE49-F238E27FC236}">
              <a16:creationId xmlns:a16="http://schemas.microsoft.com/office/drawing/2014/main" id="{46AE4558-5839-B9E6-EFE8-9FA8D968A285}"/>
            </a:ext>
          </a:extLst>
        </xdr:cNvPr>
        <xdr:cNvSpPr txBox="1"/>
      </xdr:nvSpPr>
      <xdr:spPr>
        <a:xfrm>
          <a:off x="899613" y="4106546"/>
          <a:ext cx="3278372" cy="283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Sab Category wise Sales Performing</a:t>
          </a:r>
        </a:p>
      </xdr:txBody>
    </xdr:sp>
    <xdr:clientData/>
  </xdr:oneCellAnchor>
  <xdr:oneCellAnchor>
    <xdr:from>
      <xdr:col>16</xdr:col>
      <xdr:colOff>478460</xdr:colOff>
      <xdr:row>22</xdr:row>
      <xdr:rowOff>150625</xdr:rowOff>
    </xdr:from>
    <xdr:ext cx="2046767" cy="416443"/>
    <xdr:sp macro="" textlink="">
      <xdr:nvSpPr>
        <xdr:cNvPr id="54" name="TextBox 53">
          <a:extLst>
            <a:ext uri="{FF2B5EF4-FFF2-40B4-BE49-F238E27FC236}">
              <a16:creationId xmlns:a16="http://schemas.microsoft.com/office/drawing/2014/main" id="{3A4C1EBD-FA57-2135-D76C-A5934AB39FC8}"/>
            </a:ext>
          </a:extLst>
        </xdr:cNvPr>
        <xdr:cNvSpPr txBox="1"/>
      </xdr:nvSpPr>
      <xdr:spPr>
        <a:xfrm>
          <a:off x="10473065" y="4244160"/>
          <a:ext cx="2046767" cy="416443"/>
        </a:xfrm>
        <a:prstGeom prst="rect">
          <a:avLst/>
        </a:prstGeom>
        <a:pattFill prst="pct5">
          <a:fgClr>
            <a:schemeClr val="bg1"/>
          </a:fgClr>
          <a:bgClr>
            <a:schemeClr val="bg1"/>
          </a:bgClr>
        </a:patt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Age -Group Sales</a:t>
          </a:r>
        </a:p>
        <a:p>
          <a:endParaRPr lang="en-IN" sz="1100"/>
        </a:p>
      </xdr:txBody>
    </xdr:sp>
    <xdr:clientData/>
  </xdr:oneCellAnchor>
  <xdr:twoCellAnchor>
    <xdr:from>
      <xdr:col>14</xdr:col>
      <xdr:colOff>445239</xdr:colOff>
      <xdr:row>25</xdr:row>
      <xdr:rowOff>19050</xdr:rowOff>
    </xdr:from>
    <xdr:to>
      <xdr:col>21</xdr:col>
      <xdr:colOff>312332</xdr:colOff>
      <xdr:row>37</xdr:row>
      <xdr:rowOff>114300</xdr:rowOff>
    </xdr:to>
    <xdr:graphicFrame macro="">
      <xdr:nvGraphicFramePr>
        <xdr:cNvPr id="57" name="Chart 56">
          <a:extLst>
            <a:ext uri="{FF2B5EF4-FFF2-40B4-BE49-F238E27FC236}">
              <a16:creationId xmlns:a16="http://schemas.microsoft.com/office/drawing/2014/main" id="{B4D1ACCF-F5C0-4F37-9EF3-DCC2C6C00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515472</xdr:colOff>
      <xdr:row>25</xdr:row>
      <xdr:rowOff>11206</xdr:rowOff>
    </xdr:from>
    <xdr:to>
      <xdr:col>6</xdr:col>
      <xdr:colOff>28575</xdr:colOff>
      <xdr:row>37</xdr:row>
      <xdr:rowOff>75809</xdr:rowOff>
    </xdr:to>
    <xdr:graphicFrame macro="">
      <xdr:nvGraphicFramePr>
        <xdr:cNvPr id="59" name="Chart 58">
          <a:extLst>
            <a:ext uri="{FF2B5EF4-FFF2-40B4-BE49-F238E27FC236}">
              <a16:creationId xmlns:a16="http://schemas.microsoft.com/office/drawing/2014/main" id="{3FAFE9D9-8E5C-499C-8705-054F417A9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265821</xdr:colOff>
      <xdr:row>8</xdr:row>
      <xdr:rowOff>119380</xdr:rowOff>
    </xdr:from>
    <xdr:to>
      <xdr:col>12</xdr:col>
      <xdr:colOff>651715</xdr:colOff>
      <xdr:row>19</xdr:row>
      <xdr:rowOff>168089</xdr:rowOff>
    </xdr:to>
    <xdr:graphicFrame macro="">
      <xdr:nvGraphicFramePr>
        <xdr:cNvPr id="40" name="Chart 39">
          <a:extLst>
            <a:ext uri="{FF2B5EF4-FFF2-40B4-BE49-F238E27FC236}">
              <a16:creationId xmlns:a16="http://schemas.microsoft.com/office/drawing/2014/main" id="{67CDBA80-B3D4-4735-A629-C06E8FD0B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76200</xdr:colOff>
          <xdr:row>28</xdr:row>
          <xdr:rowOff>68580</xdr:rowOff>
        </xdr:from>
        <xdr:to>
          <xdr:col>7</xdr:col>
          <xdr:colOff>68580</xdr:colOff>
          <xdr:row>29</xdr:row>
          <xdr:rowOff>175260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xdr:colOff>
          <xdr:row>30</xdr:row>
          <xdr:rowOff>76200</xdr:rowOff>
        </xdr:from>
        <xdr:to>
          <xdr:col>7</xdr:col>
          <xdr:colOff>68580</xdr:colOff>
          <xdr:row>31</xdr:row>
          <xdr:rowOff>76200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Below</a:t>
              </a:r>
            </a:p>
          </xdr:txBody>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8.451721412035" backgroundQuery="1" createdVersion="8" refreshedVersion="8" minRefreshableVersion="3" recordCount="3900" xr:uid="{6EB357AD-951E-4859-AA76-ADE96A3B554C}">
  <cacheSource type="external" connectionId="1"/>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autoStart="0" startNum="0" endNum="70" groupInterval="19"/>
        <groupItems count="6">
          <s v="&lt;0"/>
          <s v="0-18"/>
          <s v="19-37"/>
          <s v="38-56"/>
          <s v="57-75"/>
          <s v="&gt;76"/>
        </groupItems>
      </fieldGroup>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361249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n v="53"/>
    <s v="Kentucky"/>
    <x v="0"/>
    <x v="0"/>
    <x v="0"/>
    <x v="0"/>
    <x v="0"/>
    <x v="0"/>
    <x v="0"/>
    <x v="0"/>
    <n v="14"/>
    <x v="0"/>
    <x v="0"/>
  </r>
  <r>
    <n v="2"/>
    <x v="1"/>
    <x v="0"/>
    <x v="1"/>
    <x v="0"/>
    <n v="64"/>
    <s v="Maine"/>
    <x v="0"/>
    <x v="1"/>
    <x v="0"/>
    <x v="0"/>
    <x v="0"/>
    <x v="0"/>
    <x v="0"/>
    <x v="0"/>
    <n v="2"/>
    <x v="1"/>
    <x v="0"/>
  </r>
  <r>
    <n v="3"/>
    <x v="2"/>
    <x v="0"/>
    <x v="2"/>
    <x v="0"/>
    <n v="73"/>
    <s v="Massachusetts"/>
    <x v="1"/>
    <x v="1"/>
    <x v="1"/>
    <x v="0"/>
    <x v="0"/>
    <x v="1"/>
    <x v="0"/>
    <x v="0"/>
    <n v="23"/>
    <x v="2"/>
    <x v="1"/>
  </r>
  <r>
    <n v="4"/>
    <x v="3"/>
    <x v="0"/>
    <x v="3"/>
    <x v="1"/>
    <n v="90"/>
    <s v="Rhode Island"/>
    <x v="2"/>
    <x v="1"/>
    <x v="1"/>
    <x v="1"/>
    <x v="0"/>
    <x v="2"/>
    <x v="0"/>
    <x v="0"/>
    <n v="49"/>
    <x v="3"/>
    <x v="1"/>
  </r>
  <r>
    <n v="5"/>
    <x v="4"/>
    <x v="0"/>
    <x v="0"/>
    <x v="0"/>
    <n v="49"/>
    <s v="Oregon"/>
    <x v="2"/>
    <x v="2"/>
    <x v="1"/>
    <x v="2"/>
    <x v="0"/>
    <x v="1"/>
    <x v="0"/>
    <x v="0"/>
    <n v="31"/>
    <x v="3"/>
    <x v="2"/>
  </r>
  <r>
    <n v="6"/>
    <x v="5"/>
    <x v="0"/>
    <x v="4"/>
    <x v="1"/>
    <n v="20"/>
    <s v="Wyoming"/>
    <x v="2"/>
    <x v="3"/>
    <x v="2"/>
    <x v="3"/>
    <x v="0"/>
    <x v="3"/>
    <x v="0"/>
    <x v="0"/>
    <n v="14"/>
    <x v="0"/>
    <x v="1"/>
  </r>
  <r>
    <n v="7"/>
    <x v="6"/>
    <x v="0"/>
    <x v="5"/>
    <x v="0"/>
    <n v="85"/>
    <s v="Montana"/>
    <x v="2"/>
    <x v="0"/>
    <x v="3"/>
    <x v="4"/>
    <x v="0"/>
    <x v="1"/>
    <x v="0"/>
    <x v="0"/>
    <n v="49"/>
    <x v="1"/>
    <x v="3"/>
  </r>
  <r>
    <n v="8"/>
    <x v="7"/>
    <x v="0"/>
    <x v="6"/>
    <x v="0"/>
    <n v="34"/>
    <s v="Louisiana"/>
    <x v="0"/>
    <x v="4"/>
    <x v="0"/>
    <x v="4"/>
    <x v="0"/>
    <x v="1"/>
    <x v="0"/>
    <x v="0"/>
    <n v="19"/>
    <x v="2"/>
    <x v="1"/>
  </r>
  <r>
    <n v="9"/>
    <x v="8"/>
    <x v="0"/>
    <x v="7"/>
    <x v="2"/>
    <n v="97"/>
    <s v="West Virginia"/>
    <x v="0"/>
    <x v="5"/>
    <x v="2"/>
    <x v="5"/>
    <x v="0"/>
    <x v="0"/>
    <x v="0"/>
    <x v="0"/>
    <n v="8"/>
    <x v="0"/>
    <x v="2"/>
  </r>
  <r>
    <n v="10"/>
    <x v="9"/>
    <x v="0"/>
    <x v="8"/>
    <x v="3"/>
    <n v="31"/>
    <s v="Missouri"/>
    <x v="2"/>
    <x v="6"/>
    <x v="1"/>
    <x v="6"/>
    <x v="0"/>
    <x v="4"/>
    <x v="0"/>
    <x v="0"/>
    <n v="4"/>
    <x v="1"/>
    <x v="3"/>
  </r>
  <r>
    <n v="11"/>
    <x v="10"/>
    <x v="0"/>
    <x v="9"/>
    <x v="1"/>
    <n v="34"/>
    <s v="Arkansas"/>
    <x v="0"/>
    <x v="7"/>
    <x v="3"/>
    <x v="7"/>
    <x v="0"/>
    <x v="5"/>
    <x v="0"/>
    <x v="0"/>
    <n v="26"/>
    <x v="4"/>
    <x v="4"/>
  </r>
  <r>
    <n v="12"/>
    <x v="11"/>
    <x v="0"/>
    <x v="6"/>
    <x v="0"/>
    <n v="68"/>
    <s v="Hawaii"/>
    <x v="1"/>
    <x v="8"/>
    <x v="0"/>
    <x v="8"/>
    <x v="0"/>
    <x v="5"/>
    <x v="0"/>
    <x v="0"/>
    <n v="10"/>
    <x v="4"/>
    <x v="0"/>
  </r>
  <r>
    <n v="13"/>
    <x v="12"/>
    <x v="0"/>
    <x v="7"/>
    <x v="2"/>
    <n v="72"/>
    <s v="Delaware"/>
    <x v="2"/>
    <x v="9"/>
    <x v="0"/>
    <x v="9"/>
    <x v="0"/>
    <x v="0"/>
    <x v="0"/>
    <x v="0"/>
    <n v="37"/>
    <x v="0"/>
    <x v="0"/>
  </r>
  <r>
    <n v="14"/>
    <x v="13"/>
    <x v="0"/>
    <x v="10"/>
    <x v="0"/>
    <n v="51"/>
    <s v="New Hampshire"/>
    <x v="2"/>
    <x v="10"/>
    <x v="1"/>
    <x v="10"/>
    <x v="0"/>
    <x v="0"/>
    <x v="0"/>
    <x v="0"/>
    <n v="31"/>
    <x v="3"/>
    <x v="1"/>
  </r>
  <r>
    <n v="15"/>
    <x v="14"/>
    <x v="0"/>
    <x v="7"/>
    <x v="2"/>
    <n v="53"/>
    <s v="New York"/>
    <x v="0"/>
    <x v="11"/>
    <x v="0"/>
    <x v="10"/>
    <x v="0"/>
    <x v="1"/>
    <x v="0"/>
    <x v="0"/>
    <n v="34"/>
    <x v="5"/>
    <x v="1"/>
  </r>
  <r>
    <n v="16"/>
    <x v="14"/>
    <x v="0"/>
    <x v="11"/>
    <x v="0"/>
    <n v="81"/>
    <s v="Rhode Island"/>
    <x v="2"/>
    <x v="11"/>
    <x v="0"/>
    <x v="11"/>
    <x v="0"/>
    <x v="5"/>
    <x v="0"/>
    <x v="0"/>
    <n v="8"/>
    <x v="3"/>
    <x v="5"/>
  </r>
  <r>
    <n v="17"/>
    <x v="15"/>
    <x v="0"/>
    <x v="12"/>
    <x v="3"/>
    <n v="36"/>
    <s v="Alabama"/>
    <x v="1"/>
    <x v="0"/>
    <x v="1"/>
    <x v="7"/>
    <x v="0"/>
    <x v="2"/>
    <x v="0"/>
    <x v="0"/>
    <n v="44"/>
    <x v="5"/>
    <x v="4"/>
  </r>
  <r>
    <n v="18"/>
    <x v="10"/>
    <x v="0"/>
    <x v="10"/>
    <x v="0"/>
    <n v="38"/>
    <s v="Mississippi"/>
    <x v="3"/>
    <x v="12"/>
    <x v="0"/>
    <x v="10"/>
    <x v="0"/>
    <x v="4"/>
    <x v="0"/>
    <x v="0"/>
    <n v="36"/>
    <x v="0"/>
    <x v="3"/>
  </r>
  <r>
    <n v="19"/>
    <x v="16"/>
    <x v="0"/>
    <x v="1"/>
    <x v="0"/>
    <n v="48"/>
    <s v="Montana"/>
    <x v="1"/>
    <x v="13"/>
    <x v="2"/>
    <x v="12"/>
    <x v="0"/>
    <x v="1"/>
    <x v="0"/>
    <x v="0"/>
    <n v="17"/>
    <x v="1"/>
    <x v="1"/>
  </r>
  <r>
    <n v="20"/>
    <x v="17"/>
    <x v="0"/>
    <x v="13"/>
    <x v="0"/>
    <n v="90"/>
    <s v="Rhode Island"/>
    <x v="2"/>
    <x v="14"/>
    <x v="2"/>
    <x v="13"/>
    <x v="0"/>
    <x v="3"/>
    <x v="0"/>
    <x v="0"/>
    <n v="46"/>
    <x v="5"/>
    <x v="4"/>
  </r>
  <r>
    <n v="21"/>
    <x v="3"/>
    <x v="0"/>
    <x v="13"/>
    <x v="0"/>
    <n v="51"/>
    <s v="Louisiana"/>
    <x v="2"/>
    <x v="13"/>
    <x v="0"/>
    <x v="11"/>
    <x v="0"/>
    <x v="0"/>
    <x v="0"/>
    <x v="0"/>
    <n v="50"/>
    <x v="1"/>
    <x v="6"/>
  </r>
  <r>
    <n v="22"/>
    <x v="18"/>
    <x v="0"/>
    <x v="13"/>
    <x v="0"/>
    <n v="62"/>
    <s v="North Carolina"/>
    <x v="2"/>
    <x v="4"/>
    <x v="0"/>
    <x v="7"/>
    <x v="0"/>
    <x v="5"/>
    <x v="0"/>
    <x v="0"/>
    <n v="22"/>
    <x v="5"/>
    <x v="3"/>
  </r>
  <r>
    <n v="23"/>
    <x v="19"/>
    <x v="0"/>
    <x v="13"/>
    <x v="0"/>
    <n v="37"/>
    <s v="California"/>
    <x v="2"/>
    <x v="15"/>
    <x v="2"/>
    <x v="4"/>
    <x v="0"/>
    <x v="5"/>
    <x v="0"/>
    <x v="0"/>
    <n v="32"/>
    <x v="5"/>
    <x v="2"/>
  </r>
  <r>
    <n v="24"/>
    <x v="18"/>
    <x v="0"/>
    <x v="13"/>
    <x v="0"/>
    <n v="88"/>
    <s v="Oklahoma"/>
    <x v="3"/>
    <x v="3"/>
    <x v="0"/>
    <x v="14"/>
    <x v="0"/>
    <x v="0"/>
    <x v="0"/>
    <x v="0"/>
    <n v="40"/>
    <x v="2"/>
    <x v="1"/>
  </r>
  <r>
    <n v="25"/>
    <x v="20"/>
    <x v="0"/>
    <x v="14"/>
    <x v="2"/>
    <n v="22"/>
    <s v="Florida"/>
    <x v="2"/>
    <x v="14"/>
    <x v="3"/>
    <x v="3"/>
    <x v="0"/>
    <x v="5"/>
    <x v="0"/>
    <x v="0"/>
    <n v="16"/>
    <x v="5"/>
    <x v="1"/>
  </r>
  <r>
    <n v="26"/>
    <x v="20"/>
    <x v="0"/>
    <x v="15"/>
    <x v="0"/>
    <n v="25"/>
    <s v="Texas"/>
    <x v="2"/>
    <x v="5"/>
    <x v="2"/>
    <x v="15"/>
    <x v="0"/>
    <x v="0"/>
    <x v="0"/>
    <x v="0"/>
    <n v="14"/>
    <x v="3"/>
    <x v="2"/>
  </r>
  <r>
    <n v="27"/>
    <x v="21"/>
    <x v="0"/>
    <x v="16"/>
    <x v="3"/>
    <n v="20"/>
    <s v="Nevada"/>
    <x v="2"/>
    <x v="16"/>
    <x v="1"/>
    <x v="15"/>
    <x v="0"/>
    <x v="2"/>
    <x v="0"/>
    <x v="0"/>
    <n v="13"/>
    <x v="2"/>
    <x v="2"/>
  </r>
  <r>
    <n v="28"/>
    <x v="19"/>
    <x v="0"/>
    <x v="6"/>
    <x v="0"/>
    <n v="56"/>
    <s v="Kentucky"/>
    <x v="0"/>
    <x v="17"/>
    <x v="2"/>
    <x v="16"/>
    <x v="0"/>
    <x v="2"/>
    <x v="0"/>
    <x v="0"/>
    <n v="7"/>
    <x v="4"/>
    <x v="6"/>
  </r>
  <r>
    <n v="29"/>
    <x v="22"/>
    <x v="0"/>
    <x v="8"/>
    <x v="3"/>
    <n v="94"/>
    <s v="North Carolina"/>
    <x v="2"/>
    <x v="0"/>
    <x v="3"/>
    <x v="14"/>
    <x v="0"/>
    <x v="1"/>
    <x v="0"/>
    <x v="0"/>
    <n v="41"/>
    <x v="3"/>
    <x v="6"/>
  </r>
  <r>
    <n v="30"/>
    <x v="18"/>
    <x v="0"/>
    <x v="10"/>
    <x v="0"/>
    <n v="48"/>
    <s v="Wyoming"/>
    <x v="1"/>
    <x v="13"/>
    <x v="3"/>
    <x v="7"/>
    <x v="0"/>
    <x v="5"/>
    <x v="0"/>
    <x v="0"/>
    <n v="14"/>
    <x v="2"/>
    <x v="1"/>
  </r>
  <r>
    <n v="31"/>
    <x v="9"/>
    <x v="0"/>
    <x v="16"/>
    <x v="3"/>
    <n v="31"/>
    <s v="North Carolina"/>
    <x v="0"/>
    <x v="13"/>
    <x v="0"/>
    <x v="10"/>
    <x v="0"/>
    <x v="3"/>
    <x v="0"/>
    <x v="0"/>
    <n v="16"/>
    <x v="2"/>
    <x v="5"/>
  </r>
  <r>
    <n v="32"/>
    <x v="23"/>
    <x v="0"/>
    <x v="10"/>
    <x v="0"/>
    <n v="79"/>
    <s v="West Virginia"/>
    <x v="0"/>
    <x v="18"/>
    <x v="0"/>
    <x v="10"/>
    <x v="0"/>
    <x v="5"/>
    <x v="0"/>
    <x v="0"/>
    <n v="45"/>
    <x v="0"/>
    <x v="5"/>
  </r>
  <r>
    <n v="33"/>
    <x v="24"/>
    <x v="0"/>
    <x v="14"/>
    <x v="2"/>
    <n v="67"/>
    <s v="Kansas"/>
    <x v="2"/>
    <x v="5"/>
    <x v="2"/>
    <x v="8"/>
    <x v="0"/>
    <x v="1"/>
    <x v="0"/>
    <x v="0"/>
    <n v="37"/>
    <x v="0"/>
    <x v="2"/>
  </r>
  <r>
    <n v="34"/>
    <x v="22"/>
    <x v="0"/>
    <x v="13"/>
    <x v="0"/>
    <n v="38"/>
    <s v="Colorado"/>
    <x v="0"/>
    <x v="14"/>
    <x v="2"/>
    <x v="13"/>
    <x v="0"/>
    <x v="5"/>
    <x v="0"/>
    <x v="0"/>
    <n v="45"/>
    <x v="1"/>
    <x v="3"/>
  </r>
  <r>
    <n v="35"/>
    <x v="24"/>
    <x v="0"/>
    <x v="17"/>
    <x v="0"/>
    <n v="91"/>
    <s v="North Dakota"/>
    <x v="0"/>
    <x v="10"/>
    <x v="1"/>
    <x v="12"/>
    <x v="0"/>
    <x v="4"/>
    <x v="0"/>
    <x v="0"/>
    <n v="38"/>
    <x v="3"/>
    <x v="3"/>
  </r>
  <r>
    <n v="36"/>
    <x v="22"/>
    <x v="0"/>
    <x v="0"/>
    <x v="0"/>
    <n v="33"/>
    <s v="Massachusetts"/>
    <x v="2"/>
    <x v="17"/>
    <x v="2"/>
    <x v="17"/>
    <x v="0"/>
    <x v="4"/>
    <x v="0"/>
    <x v="0"/>
    <n v="48"/>
    <x v="2"/>
    <x v="4"/>
  </r>
  <r>
    <n v="37"/>
    <x v="25"/>
    <x v="0"/>
    <x v="17"/>
    <x v="0"/>
    <n v="69"/>
    <s v="Illinois"/>
    <x v="2"/>
    <x v="1"/>
    <x v="0"/>
    <x v="12"/>
    <x v="0"/>
    <x v="1"/>
    <x v="0"/>
    <x v="0"/>
    <n v="44"/>
    <x v="3"/>
    <x v="0"/>
  </r>
  <r>
    <n v="38"/>
    <x v="25"/>
    <x v="0"/>
    <x v="2"/>
    <x v="0"/>
    <n v="45"/>
    <s v="Indiana"/>
    <x v="1"/>
    <x v="17"/>
    <x v="2"/>
    <x v="11"/>
    <x v="0"/>
    <x v="5"/>
    <x v="0"/>
    <x v="0"/>
    <n v="10"/>
    <x v="3"/>
    <x v="1"/>
  </r>
  <r>
    <n v="39"/>
    <x v="26"/>
    <x v="0"/>
    <x v="10"/>
    <x v="0"/>
    <n v="37"/>
    <s v="Florida"/>
    <x v="2"/>
    <x v="16"/>
    <x v="0"/>
    <x v="18"/>
    <x v="0"/>
    <x v="4"/>
    <x v="0"/>
    <x v="0"/>
    <n v="44"/>
    <x v="0"/>
    <x v="6"/>
  </r>
  <r>
    <n v="40"/>
    <x v="27"/>
    <x v="0"/>
    <x v="13"/>
    <x v="0"/>
    <n v="60"/>
    <s v="Arizona"/>
    <x v="1"/>
    <x v="2"/>
    <x v="2"/>
    <x v="19"/>
    <x v="0"/>
    <x v="0"/>
    <x v="0"/>
    <x v="0"/>
    <n v="18"/>
    <x v="2"/>
    <x v="5"/>
  </r>
  <r>
    <n v="41"/>
    <x v="28"/>
    <x v="0"/>
    <x v="8"/>
    <x v="3"/>
    <n v="76"/>
    <s v="Louisiana"/>
    <x v="0"/>
    <x v="19"/>
    <x v="0"/>
    <x v="12"/>
    <x v="0"/>
    <x v="2"/>
    <x v="0"/>
    <x v="0"/>
    <n v="31"/>
    <x v="5"/>
    <x v="3"/>
  </r>
  <r>
    <n v="42"/>
    <x v="29"/>
    <x v="0"/>
    <x v="18"/>
    <x v="3"/>
    <n v="39"/>
    <s v="Alaska"/>
    <x v="2"/>
    <x v="20"/>
    <x v="1"/>
    <x v="9"/>
    <x v="0"/>
    <x v="3"/>
    <x v="0"/>
    <x v="0"/>
    <n v="40"/>
    <x v="0"/>
    <x v="2"/>
  </r>
  <r>
    <n v="43"/>
    <x v="30"/>
    <x v="0"/>
    <x v="7"/>
    <x v="2"/>
    <n v="100"/>
    <s v="Tennessee"/>
    <x v="2"/>
    <x v="19"/>
    <x v="1"/>
    <x v="7"/>
    <x v="0"/>
    <x v="1"/>
    <x v="0"/>
    <x v="0"/>
    <n v="15"/>
    <x v="3"/>
    <x v="2"/>
  </r>
  <r>
    <n v="44"/>
    <x v="15"/>
    <x v="0"/>
    <x v="18"/>
    <x v="3"/>
    <n v="69"/>
    <s v="Ohio"/>
    <x v="0"/>
    <x v="12"/>
    <x v="3"/>
    <x v="18"/>
    <x v="0"/>
    <x v="5"/>
    <x v="0"/>
    <x v="0"/>
    <n v="19"/>
    <x v="3"/>
    <x v="0"/>
  </r>
  <r>
    <n v="45"/>
    <x v="31"/>
    <x v="0"/>
    <x v="19"/>
    <x v="3"/>
    <n v="53"/>
    <s v="Kentucky"/>
    <x v="1"/>
    <x v="5"/>
    <x v="2"/>
    <x v="12"/>
    <x v="0"/>
    <x v="1"/>
    <x v="0"/>
    <x v="0"/>
    <n v="45"/>
    <x v="3"/>
    <x v="1"/>
  </r>
  <r>
    <n v="46"/>
    <x v="2"/>
    <x v="0"/>
    <x v="20"/>
    <x v="0"/>
    <n v="21"/>
    <s v="Tennessee"/>
    <x v="3"/>
    <x v="21"/>
    <x v="3"/>
    <x v="3"/>
    <x v="0"/>
    <x v="4"/>
    <x v="0"/>
    <x v="0"/>
    <n v="25"/>
    <x v="3"/>
    <x v="2"/>
  </r>
  <r>
    <n v="47"/>
    <x v="9"/>
    <x v="0"/>
    <x v="5"/>
    <x v="0"/>
    <n v="43"/>
    <s v="California"/>
    <x v="0"/>
    <x v="3"/>
    <x v="2"/>
    <x v="3"/>
    <x v="0"/>
    <x v="5"/>
    <x v="0"/>
    <x v="0"/>
    <n v="45"/>
    <x v="1"/>
    <x v="3"/>
  </r>
  <r>
    <n v="48"/>
    <x v="0"/>
    <x v="0"/>
    <x v="16"/>
    <x v="3"/>
    <n v="54"/>
    <s v="Montana"/>
    <x v="2"/>
    <x v="4"/>
    <x v="0"/>
    <x v="9"/>
    <x v="0"/>
    <x v="1"/>
    <x v="0"/>
    <x v="0"/>
    <n v="36"/>
    <x v="1"/>
    <x v="1"/>
  </r>
  <r>
    <n v="49"/>
    <x v="32"/>
    <x v="0"/>
    <x v="5"/>
    <x v="0"/>
    <n v="55"/>
    <s v="Nevada"/>
    <x v="2"/>
    <x v="20"/>
    <x v="2"/>
    <x v="2"/>
    <x v="0"/>
    <x v="5"/>
    <x v="0"/>
    <x v="0"/>
    <n v="38"/>
    <x v="1"/>
    <x v="5"/>
  </r>
  <r>
    <n v="50"/>
    <x v="33"/>
    <x v="0"/>
    <x v="15"/>
    <x v="0"/>
    <n v="30"/>
    <s v="New Jersey"/>
    <x v="1"/>
    <x v="21"/>
    <x v="1"/>
    <x v="12"/>
    <x v="0"/>
    <x v="2"/>
    <x v="0"/>
    <x v="0"/>
    <n v="34"/>
    <x v="5"/>
    <x v="4"/>
  </r>
  <r>
    <n v="51"/>
    <x v="34"/>
    <x v="0"/>
    <x v="0"/>
    <x v="0"/>
    <n v="28"/>
    <s v="Maryland"/>
    <x v="2"/>
    <x v="16"/>
    <x v="1"/>
    <x v="18"/>
    <x v="0"/>
    <x v="5"/>
    <x v="0"/>
    <x v="0"/>
    <n v="39"/>
    <x v="5"/>
    <x v="4"/>
  </r>
  <r>
    <n v="52"/>
    <x v="35"/>
    <x v="0"/>
    <x v="11"/>
    <x v="0"/>
    <n v="59"/>
    <s v="Vermont"/>
    <x v="3"/>
    <x v="0"/>
    <x v="0"/>
    <x v="10"/>
    <x v="0"/>
    <x v="4"/>
    <x v="0"/>
    <x v="0"/>
    <n v="7"/>
    <x v="2"/>
    <x v="3"/>
  </r>
  <r>
    <n v="53"/>
    <x v="32"/>
    <x v="0"/>
    <x v="17"/>
    <x v="0"/>
    <n v="20"/>
    <s v="Alaska"/>
    <x v="2"/>
    <x v="14"/>
    <x v="2"/>
    <x v="5"/>
    <x v="0"/>
    <x v="1"/>
    <x v="0"/>
    <x v="0"/>
    <n v="26"/>
    <x v="2"/>
    <x v="1"/>
  </r>
  <r>
    <n v="54"/>
    <x v="26"/>
    <x v="0"/>
    <x v="11"/>
    <x v="0"/>
    <n v="24"/>
    <s v="Mississippi"/>
    <x v="1"/>
    <x v="15"/>
    <x v="0"/>
    <x v="20"/>
    <x v="0"/>
    <x v="2"/>
    <x v="0"/>
    <x v="0"/>
    <n v="35"/>
    <x v="2"/>
    <x v="1"/>
  </r>
  <r>
    <n v="55"/>
    <x v="36"/>
    <x v="0"/>
    <x v="7"/>
    <x v="2"/>
    <n v="94"/>
    <s v="New Mexico"/>
    <x v="2"/>
    <x v="18"/>
    <x v="2"/>
    <x v="19"/>
    <x v="0"/>
    <x v="2"/>
    <x v="0"/>
    <x v="0"/>
    <n v="35"/>
    <x v="5"/>
    <x v="4"/>
  </r>
  <r>
    <n v="56"/>
    <x v="37"/>
    <x v="0"/>
    <x v="14"/>
    <x v="2"/>
    <n v="28"/>
    <s v="South Carolina"/>
    <x v="2"/>
    <x v="12"/>
    <x v="0"/>
    <x v="21"/>
    <x v="0"/>
    <x v="4"/>
    <x v="0"/>
    <x v="0"/>
    <n v="49"/>
    <x v="2"/>
    <x v="2"/>
  </r>
  <r>
    <n v="57"/>
    <x v="38"/>
    <x v="0"/>
    <x v="21"/>
    <x v="3"/>
    <n v="73"/>
    <s v="Mississippi"/>
    <x v="3"/>
    <x v="18"/>
    <x v="2"/>
    <x v="10"/>
    <x v="0"/>
    <x v="5"/>
    <x v="0"/>
    <x v="0"/>
    <n v="46"/>
    <x v="2"/>
    <x v="1"/>
  </r>
  <r>
    <n v="58"/>
    <x v="3"/>
    <x v="0"/>
    <x v="7"/>
    <x v="2"/>
    <n v="64"/>
    <s v="West Virginia"/>
    <x v="2"/>
    <x v="3"/>
    <x v="2"/>
    <x v="14"/>
    <x v="0"/>
    <x v="5"/>
    <x v="0"/>
    <x v="0"/>
    <n v="17"/>
    <x v="5"/>
    <x v="0"/>
  </r>
  <r>
    <n v="59"/>
    <x v="28"/>
    <x v="0"/>
    <x v="15"/>
    <x v="0"/>
    <n v="54"/>
    <s v="Missouri"/>
    <x v="2"/>
    <x v="4"/>
    <x v="2"/>
    <x v="19"/>
    <x v="0"/>
    <x v="1"/>
    <x v="0"/>
    <x v="0"/>
    <n v="29"/>
    <x v="0"/>
    <x v="5"/>
  </r>
  <r>
    <n v="60"/>
    <x v="6"/>
    <x v="0"/>
    <x v="22"/>
    <x v="3"/>
    <n v="79"/>
    <s v="Louisiana"/>
    <x v="0"/>
    <x v="22"/>
    <x v="1"/>
    <x v="12"/>
    <x v="0"/>
    <x v="3"/>
    <x v="0"/>
    <x v="0"/>
    <n v="4"/>
    <x v="5"/>
    <x v="1"/>
  </r>
  <r>
    <n v="61"/>
    <x v="2"/>
    <x v="0"/>
    <x v="1"/>
    <x v="0"/>
    <n v="37"/>
    <s v="Idaho"/>
    <x v="0"/>
    <x v="18"/>
    <x v="2"/>
    <x v="17"/>
    <x v="0"/>
    <x v="0"/>
    <x v="0"/>
    <x v="0"/>
    <n v="17"/>
    <x v="1"/>
    <x v="1"/>
  </r>
  <r>
    <n v="62"/>
    <x v="0"/>
    <x v="0"/>
    <x v="18"/>
    <x v="3"/>
    <n v="68"/>
    <s v="Texas"/>
    <x v="2"/>
    <x v="20"/>
    <x v="0"/>
    <x v="10"/>
    <x v="0"/>
    <x v="5"/>
    <x v="0"/>
    <x v="0"/>
    <n v="21"/>
    <x v="2"/>
    <x v="6"/>
  </r>
  <r>
    <n v="63"/>
    <x v="11"/>
    <x v="0"/>
    <x v="4"/>
    <x v="1"/>
    <n v="21"/>
    <s v="Mississippi"/>
    <x v="1"/>
    <x v="23"/>
    <x v="1"/>
    <x v="22"/>
    <x v="0"/>
    <x v="1"/>
    <x v="0"/>
    <x v="0"/>
    <n v="31"/>
    <x v="2"/>
    <x v="0"/>
  </r>
  <r>
    <n v="64"/>
    <x v="23"/>
    <x v="0"/>
    <x v="12"/>
    <x v="3"/>
    <n v="79"/>
    <s v="Arizona"/>
    <x v="0"/>
    <x v="12"/>
    <x v="0"/>
    <x v="2"/>
    <x v="0"/>
    <x v="4"/>
    <x v="0"/>
    <x v="0"/>
    <n v="43"/>
    <x v="2"/>
    <x v="1"/>
  </r>
  <r>
    <n v="65"/>
    <x v="13"/>
    <x v="0"/>
    <x v="23"/>
    <x v="1"/>
    <n v="83"/>
    <s v="Alabama"/>
    <x v="1"/>
    <x v="14"/>
    <x v="3"/>
    <x v="6"/>
    <x v="0"/>
    <x v="3"/>
    <x v="0"/>
    <x v="0"/>
    <n v="18"/>
    <x v="5"/>
    <x v="0"/>
  </r>
  <r>
    <n v="66"/>
    <x v="13"/>
    <x v="0"/>
    <x v="21"/>
    <x v="3"/>
    <n v="36"/>
    <s v="New Jersey"/>
    <x v="2"/>
    <x v="7"/>
    <x v="1"/>
    <x v="6"/>
    <x v="0"/>
    <x v="4"/>
    <x v="0"/>
    <x v="0"/>
    <n v="44"/>
    <x v="0"/>
    <x v="6"/>
  </r>
  <r>
    <n v="67"/>
    <x v="18"/>
    <x v="0"/>
    <x v="0"/>
    <x v="0"/>
    <n v="94"/>
    <s v="Pennsylvania"/>
    <x v="1"/>
    <x v="23"/>
    <x v="0"/>
    <x v="10"/>
    <x v="0"/>
    <x v="4"/>
    <x v="0"/>
    <x v="0"/>
    <n v="3"/>
    <x v="0"/>
    <x v="6"/>
  </r>
  <r>
    <n v="68"/>
    <x v="4"/>
    <x v="0"/>
    <x v="7"/>
    <x v="2"/>
    <n v="33"/>
    <s v="Connecticut"/>
    <x v="0"/>
    <x v="0"/>
    <x v="0"/>
    <x v="14"/>
    <x v="0"/>
    <x v="5"/>
    <x v="0"/>
    <x v="0"/>
    <n v="49"/>
    <x v="5"/>
    <x v="5"/>
  </r>
  <r>
    <n v="69"/>
    <x v="9"/>
    <x v="0"/>
    <x v="8"/>
    <x v="3"/>
    <n v="46"/>
    <s v="Utah"/>
    <x v="0"/>
    <x v="5"/>
    <x v="2"/>
    <x v="20"/>
    <x v="0"/>
    <x v="2"/>
    <x v="0"/>
    <x v="0"/>
    <n v="21"/>
    <x v="1"/>
    <x v="6"/>
  </r>
  <r>
    <n v="70"/>
    <x v="39"/>
    <x v="0"/>
    <x v="22"/>
    <x v="3"/>
    <n v="70"/>
    <s v="Tennessee"/>
    <x v="1"/>
    <x v="17"/>
    <x v="2"/>
    <x v="14"/>
    <x v="0"/>
    <x v="0"/>
    <x v="0"/>
    <x v="0"/>
    <n v="5"/>
    <x v="1"/>
    <x v="1"/>
  </r>
  <r>
    <n v="71"/>
    <x v="40"/>
    <x v="0"/>
    <x v="22"/>
    <x v="3"/>
    <n v="29"/>
    <s v="Alabama"/>
    <x v="2"/>
    <x v="23"/>
    <x v="3"/>
    <x v="19"/>
    <x v="0"/>
    <x v="0"/>
    <x v="0"/>
    <x v="0"/>
    <n v="32"/>
    <x v="5"/>
    <x v="6"/>
  </r>
  <r>
    <n v="72"/>
    <x v="24"/>
    <x v="0"/>
    <x v="10"/>
    <x v="0"/>
    <n v="48"/>
    <s v="Virginia"/>
    <x v="0"/>
    <x v="9"/>
    <x v="2"/>
    <x v="3"/>
    <x v="0"/>
    <x v="0"/>
    <x v="0"/>
    <x v="0"/>
    <n v="34"/>
    <x v="4"/>
    <x v="2"/>
  </r>
  <r>
    <n v="73"/>
    <x v="20"/>
    <x v="0"/>
    <x v="10"/>
    <x v="0"/>
    <n v="26"/>
    <s v="Georgia"/>
    <x v="2"/>
    <x v="8"/>
    <x v="0"/>
    <x v="3"/>
    <x v="0"/>
    <x v="5"/>
    <x v="0"/>
    <x v="0"/>
    <n v="21"/>
    <x v="4"/>
    <x v="6"/>
  </r>
  <r>
    <n v="74"/>
    <x v="39"/>
    <x v="0"/>
    <x v="13"/>
    <x v="0"/>
    <n v="85"/>
    <s v="Hawaii"/>
    <x v="2"/>
    <x v="11"/>
    <x v="1"/>
    <x v="2"/>
    <x v="0"/>
    <x v="1"/>
    <x v="0"/>
    <x v="0"/>
    <n v="43"/>
    <x v="4"/>
    <x v="4"/>
  </r>
  <r>
    <n v="75"/>
    <x v="34"/>
    <x v="0"/>
    <x v="24"/>
    <x v="3"/>
    <n v="58"/>
    <s v="Indiana"/>
    <x v="0"/>
    <x v="10"/>
    <x v="1"/>
    <x v="9"/>
    <x v="0"/>
    <x v="0"/>
    <x v="0"/>
    <x v="0"/>
    <n v="3"/>
    <x v="1"/>
    <x v="5"/>
  </r>
  <r>
    <n v="76"/>
    <x v="14"/>
    <x v="0"/>
    <x v="18"/>
    <x v="3"/>
    <n v="85"/>
    <s v="Utah"/>
    <x v="2"/>
    <x v="24"/>
    <x v="2"/>
    <x v="2"/>
    <x v="0"/>
    <x v="1"/>
    <x v="0"/>
    <x v="0"/>
    <n v="21"/>
    <x v="2"/>
    <x v="2"/>
  </r>
  <r>
    <n v="77"/>
    <x v="2"/>
    <x v="0"/>
    <x v="19"/>
    <x v="3"/>
    <n v="43"/>
    <s v="Delaware"/>
    <x v="1"/>
    <x v="11"/>
    <x v="2"/>
    <x v="19"/>
    <x v="0"/>
    <x v="1"/>
    <x v="0"/>
    <x v="0"/>
    <n v="32"/>
    <x v="0"/>
    <x v="5"/>
  </r>
  <r>
    <n v="78"/>
    <x v="40"/>
    <x v="0"/>
    <x v="10"/>
    <x v="0"/>
    <n v="53"/>
    <s v="Delaware"/>
    <x v="0"/>
    <x v="9"/>
    <x v="2"/>
    <x v="13"/>
    <x v="0"/>
    <x v="2"/>
    <x v="0"/>
    <x v="0"/>
    <n v="36"/>
    <x v="5"/>
    <x v="0"/>
  </r>
  <r>
    <n v="79"/>
    <x v="2"/>
    <x v="0"/>
    <x v="11"/>
    <x v="0"/>
    <n v="91"/>
    <s v="Nebraska"/>
    <x v="2"/>
    <x v="1"/>
    <x v="1"/>
    <x v="10"/>
    <x v="0"/>
    <x v="1"/>
    <x v="0"/>
    <x v="0"/>
    <n v="50"/>
    <x v="0"/>
    <x v="0"/>
  </r>
  <r>
    <n v="80"/>
    <x v="21"/>
    <x v="0"/>
    <x v="14"/>
    <x v="2"/>
    <n v="96"/>
    <s v="Iowa"/>
    <x v="2"/>
    <x v="8"/>
    <x v="0"/>
    <x v="5"/>
    <x v="0"/>
    <x v="4"/>
    <x v="0"/>
    <x v="0"/>
    <n v="43"/>
    <x v="4"/>
    <x v="6"/>
  </r>
  <r>
    <n v="81"/>
    <x v="1"/>
    <x v="0"/>
    <x v="3"/>
    <x v="1"/>
    <n v="72"/>
    <s v="New York"/>
    <x v="3"/>
    <x v="24"/>
    <x v="2"/>
    <x v="13"/>
    <x v="0"/>
    <x v="5"/>
    <x v="0"/>
    <x v="0"/>
    <n v="24"/>
    <x v="2"/>
    <x v="6"/>
  </r>
  <r>
    <n v="82"/>
    <x v="29"/>
    <x v="0"/>
    <x v="9"/>
    <x v="1"/>
    <n v="96"/>
    <s v="Virginia"/>
    <x v="0"/>
    <x v="1"/>
    <x v="2"/>
    <x v="5"/>
    <x v="0"/>
    <x v="0"/>
    <x v="0"/>
    <x v="0"/>
    <n v="36"/>
    <x v="2"/>
    <x v="6"/>
  </r>
  <r>
    <n v="83"/>
    <x v="1"/>
    <x v="0"/>
    <x v="13"/>
    <x v="0"/>
    <n v="28"/>
    <s v="Georgia"/>
    <x v="1"/>
    <x v="8"/>
    <x v="1"/>
    <x v="17"/>
    <x v="0"/>
    <x v="4"/>
    <x v="0"/>
    <x v="0"/>
    <n v="21"/>
    <x v="2"/>
    <x v="6"/>
  </r>
  <r>
    <n v="84"/>
    <x v="24"/>
    <x v="0"/>
    <x v="10"/>
    <x v="0"/>
    <n v="40"/>
    <s v="Texas"/>
    <x v="2"/>
    <x v="2"/>
    <x v="2"/>
    <x v="7"/>
    <x v="0"/>
    <x v="3"/>
    <x v="0"/>
    <x v="0"/>
    <n v="34"/>
    <x v="4"/>
    <x v="1"/>
  </r>
  <r>
    <n v="85"/>
    <x v="16"/>
    <x v="0"/>
    <x v="7"/>
    <x v="2"/>
    <n v="32"/>
    <s v="Arizona"/>
    <x v="1"/>
    <x v="15"/>
    <x v="1"/>
    <x v="14"/>
    <x v="0"/>
    <x v="3"/>
    <x v="0"/>
    <x v="0"/>
    <n v="42"/>
    <x v="4"/>
    <x v="6"/>
  </r>
  <r>
    <n v="86"/>
    <x v="10"/>
    <x v="0"/>
    <x v="12"/>
    <x v="3"/>
    <n v="95"/>
    <s v="New Mexico"/>
    <x v="2"/>
    <x v="4"/>
    <x v="0"/>
    <x v="9"/>
    <x v="0"/>
    <x v="2"/>
    <x v="0"/>
    <x v="0"/>
    <n v="2"/>
    <x v="5"/>
    <x v="4"/>
  </r>
  <r>
    <n v="87"/>
    <x v="41"/>
    <x v="0"/>
    <x v="15"/>
    <x v="0"/>
    <n v="41"/>
    <s v="Nevada"/>
    <x v="0"/>
    <x v="6"/>
    <x v="1"/>
    <x v="18"/>
    <x v="0"/>
    <x v="4"/>
    <x v="0"/>
    <x v="0"/>
    <n v="47"/>
    <x v="1"/>
    <x v="4"/>
  </r>
  <r>
    <n v="88"/>
    <x v="16"/>
    <x v="0"/>
    <x v="9"/>
    <x v="1"/>
    <n v="53"/>
    <s v="Ohio"/>
    <x v="2"/>
    <x v="14"/>
    <x v="3"/>
    <x v="18"/>
    <x v="0"/>
    <x v="4"/>
    <x v="0"/>
    <x v="0"/>
    <n v="44"/>
    <x v="5"/>
    <x v="0"/>
  </r>
  <r>
    <n v="89"/>
    <x v="23"/>
    <x v="0"/>
    <x v="17"/>
    <x v="0"/>
    <n v="47"/>
    <s v="Wyoming"/>
    <x v="2"/>
    <x v="20"/>
    <x v="3"/>
    <x v="1"/>
    <x v="0"/>
    <x v="1"/>
    <x v="0"/>
    <x v="0"/>
    <n v="35"/>
    <x v="2"/>
    <x v="5"/>
  </r>
  <r>
    <n v="90"/>
    <x v="36"/>
    <x v="0"/>
    <x v="14"/>
    <x v="2"/>
    <n v="83"/>
    <s v="California"/>
    <x v="3"/>
    <x v="6"/>
    <x v="3"/>
    <x v="15"/>
    <x v="0"/>
    <x v="2"/>
    <x v="0"/>
    <x v="0"/>
    <n v="15"/>
    <x v="1"/>
    <x v="3"/>
  </r>
  <r>
    <n v="91"/>
    <x v="15"/>
    <x v="0"/>
    <x v="19"/>
    <x v="3"/>
    <n v="48"/>
    <s v="South Carolina"/>
    <x v="0"/>
    <x v="10"/>
    <x v="2"/>
    <x v="3"/>
    <x v="0"/>
    <x v="0"/>
    <x v="0"/>
    <x v="0"/>
    <n v="29"/>
    <x v="2"/>
    <x v="5"/>
  </r>
  <r>
    <n v="92"/>
    <x v="42"/>
    <x v="0"/>
    <x v="18"/>
    <x v="3"/>
    <n v="99"/>
    <s v="South Carolina"/>
    <x v="1"/>
    <x v="14"/>
    <x v="0"/>
    <x v="12"/>
    <x v="0"/>
    <x v="3"/>
    <x v="0"/>
    <x v="0"/>
    <n v="18"/>
    <x v="2"/>
    <x v="6"/>
  </r>
  <r>
    <n v="93"/>
    <x v="12"/>
    <x v="0"/>
    <x v="14"/>
    <x v="2"/>
    <n v="87"/>
    <s v="Texas"/>
    <x v="2"/>
    <x v="8"/>
    <x v="0"/>
    <x v="14"/>
    <x v="0"/>
    <x v="4"/>
    <x v="0"/>
    <x v="0"/>
    <n v="13"/>
    <x v="0"/>
    <x v="6"/>
  </r>
  <r>
    <n v="94"/>
    <x v="43"/>
    <x v="0"/>
    <x v="1"/>
    <x v="0"/>
    <n v="62"/>
    <s v="Florida"/>
    <x v="2"/>
    <x v="7"/>
    <x v="3"/>
    <x v="9"/>
    <x v="0"/>
    <x v="3"/>
    <x v="0"/>
    <x v="0"/>
    <n v="46"/>
    <x v="2"/>
    <x v="1"/>
  </r>
  <r>
    <n v="95"/>
    <x v="44"/>
    <x v="0"/>
    <x v="11"/>
    <x v="0"/>
    <n v="76"/>
    <s v="Nevada"/>
    <x v="1"/>
    <x v="5"/>
    <x v="1"/>
    <x v="12"/>
    <x v="0"/>
    <x v="1"/>
    <x v="0"/>
    <x v="0"/>
    <n v="28"/>
    <x v="2"/>
    <x v="1"/>
  </r>
  <r>
    <n v="96"/>
    <x v="43"/>
    <x v="0"/>
    <x v="4"/>
    <x v="1"/>
    <n v="100"/>
    <s v="Missouri"/>
    <x v="0"/>
    <x v="6"/>
    <x v="3"/>
    <x v="22"/>
    <x v="0"/>
    <x v="1"/>
    <x v="0"/>
    <x v="0"/>
    <n v="48"/>
    <x v="3"/>
    <x v="5"/>
  </r>
  <r>
    <n v="97"/>
    <x v="45"/>
    <x v="0"/>
    <x v="24"/>
    <x v="3"/>
    <n v="73"/>
    <s v="Delaware"/>
    <x v="1"/>
    <x v="9"/>
    <x v="1"/>
    <x v="15"/>
    <x v="0"/>
    <x v="0"/>
    <x v="0"/>
    <x v="0"/>
    <n v="43"/>
    <x v="0"/>
    <x v="6"/>
  </r>
  <r>
    <n v="98"/>
    <x v="3"/>
    <x v="0"/>
    <x v="9"/>
    <x v="1"/>
    <n v="92"/>
    <s v="Virginia"/>
    <x v="2"/>
    <x v="11"/>
    <x v="0"/>
    <x v="6"/>
    <x v="0"/>
    <x v="5"/>
    <x v="0"/>
    <x v="0"/>
    <n v="37"/>
    <x v="1"/>
    <x v="2"/>
  </r>
  <r>
    <n v="99"/>
    <x v="30"/>
    <x v="0"/>
    <x v="2"/>
    <x v="0"/>
    <n v="67"/>
    <s v="New York"/>
    <x v="3"/>
    <x v="11"/>
    <x v="1"/>
    <x v="5"/>
    <x v="0"/>
    <x v="2"/>
    <x v="0"/>
    <x v="0"/>
    <n v="20"/>
    <x v="4"/>
    <x v="2"/>
  </r>
  <r>
    <n v="100"/>
    <x v="8"/>
    <x v="0"/>
    <x v="15"/>
    <x v="0"/>
    <n v="40"/>
    <s v="Missouri"/>
    <x v="3"/>
    <x v="21"/>
    <x v="2"/>
    <x v="18"/>
    <x v="0"/>
    <x v="0"/>
    <x v="0"/>
    <x v="0"/>
    <n v="33"/>
    <x v="5"/>
    <x v="3"/>
  </r>
  <r>
    <n v="101"/>
    <x v="46"/>
    <x v="0"/>
    <x v="12"/>
    <x v="3"/>
    <n v="98"/>
    <s v="South Dakota"/>
    <x v="2"/>
    <x v="1"/>
    <x v="3"/>
    <x v="2"/>
    <x v="0"/>
    <x v="0"/>
    <x v="0"/>
    <x v="0"/>
    <n v="31"/>
    <x v="1"/>
    <x v="0"/>
  </r>
  <r>
    <n v="102"/>
    <x v="7"/>
    <x v="0"/>
    <x v="7"/>
    <x v="2"/>
    <n v="85"/>
    <s v="North Dakota"/>
    <x v="3"/>
    <x v="3"/>
    <x v="1"/>
    <x v="12"/>
    <x v="0"/>
    <x v="0"/>
    <x v="0"/>
    <x v="0"/>
    <n v="50"/>
    <x v="2"/>
    <x v="4"/>
  </r>
  <r>
    <n v="103"/>
    <x v="47"/>
    <x v="0"/>
    <x v="20"/>
    <x v="0"/>
    <n v="67"/>
    <s v="Oklahoma"/>
    <x v="0"/>
    <x v="10"/>
    <x v="0"/>
    <x v="6"/>
    <x v="0"/>
    <x v="2"/>
    <x v="0"/>
    <x v="0"/>
    <n v="35"/>
    <x v="2"/>
    <x v="3"/>
  </r>
  <r>
    <n v="104"/>
    <x v="22"/>
    <x v="0"/>
    <x v="23"/>
    <x v="1"/>
    <n v="89"/>
    <s v="West Virginia"/>
    <x v="0"/>
    <x v="16"/>
    <x v="0"/>
    <x v="17"/>
    <x v="0"/>
    <x v="2"/>
    <x v="0"/>
    <x v="0"/>
    <n v="22"/>
    <x v="0"/>
    <x v="4"/>
  </r>
  <r>
    <n v="105"/>
    <x v="0"/>
    <x v="0"/>
    <x v="12"/>
    <x v="3"/>
    <n v="24"/>
    <s v="New Hampshire"/>
    <x v="0"/>
    <x v="6"/>
    <x v="1"/>
    <x v="14"/>
    <x v="0"/>
    <x v="4"/>
    <x v="0"/>
    <x v="0"/>
    <n v="1"/>
    <x v="3"/>
    <x v="5"/>
  </r>
  <r>
    <n v="106"/>
    <x v="28"/>
    <x v="0"/>
    <x v="21"/>
    <x v="3"/>
    <n v="96"/>
    <s v="New York"/>
    <x v="2"/>
    <x v="4"/>
    <x v="3"/>
    <x v="15"/>
    <x v="0"/>
    <x v="2"/>
    <x v="0"/>
    <x v="0"/>
    <n v="4"/>
    <x v="4"/>
    <x v="2"/>
  </r>
  <r>
    <n v="107"/>
    <x v="14"/>
    <x v="0"/>
    <x v="14"/>
    <x v="2"/>
    <n v="35"/>
    <s v="Minnesota"/>
    <x v="0"/>
    <x v="3"/>
    <x v="2"/>
    <x v="18"/>
    <x v="0"/>
    <x v="3"/>
    <x v="0"/>
    <x v="0"/>
    <n v="31"/>
    <x v="2"/>
    <x v="5"/>
  </r>
  <r>
    <n v="108"/>
    <x v="48"/>
    <x v="0"/>
    <x v="4"/>
    <x v="1"/>
    <n v="67"/>
    <s v="Maryland"/>
    <x v="0"/>
    <x v="8"/>
    <x v="0"/>
    <x v="0"/>
    <x v="0"/>
    <x v="2"/>
    <x v="0"/>
    <x v="0"/>
    <n v="46"/>
    <x v="3"/>
    <x v="0"/>
  </r>
  <r>
    <n v="109"/>
    <x v="27"/>
    <x v="0"/>
    <x v="20"/>
    <x v="0"/>
    <n v="79"/>
    <s v="Montana"/>
    <x v="0"/>
    <x v="7"/>
    <x v="1"/>
    <x v="23"/>
    <x v="0"/>
    <x v="2"/>
    <x v="0"/>
    <x v="0"/>
    <n v="32"/>
    <x v="4"/>
    <x v="4"/>
  </r>
  <r>
    <n v="110"/>
    <x v="44"/>
    <x v="0"/>
    <x v="17"/>
    <x v="0"/>
    <n v="85"/>
    <s v="Alabama"/>
    <x v="2"/>
    <x v="10"/>
    <x v="1"/>
    <x v="5"/>
    <x v="0"/>
    <x v="2"/>
    <x v="0"/>
    <x v="0"/>
    <n v="43"/>
    <x v="4"/>
    <x v="0"/>
  </r>
  <r>
    <n v="111"/>
    <x v="19"/>
    <x v="0"/>
    <x v="21"/>
    <x v="3"/>
    <n v="26"/>
    <s v="New York"/>
    <x v="2"/>
    <x v="13"/>
    <x v="2"/>
    <x v="17"/>
    <x v="0"/>
    <x v="3"/>
    <x v="0"/>
    <x v="0"/>
    <n v="26"/>
    <x v="0"/>
    <x v="0"/>
  </r>
  <r>
    <n v="112"/>
    <x v="8"/>
    <x v="0"/>
    <x v="22"/>
    <x v="3"/>
    <n v="75"/>
    <s v="Massachusetts"/>
    <x v="0"/>
    <x v="7"/>
    <x v="2"/>
    <x v="16"/>
    <x v="0"/>
    <x v="1"/>
    <x v="0"/>
    <x v="0"/>
    <n v="9"/>
    <x v="2"/>
    <x v="2"/>
  </r>
  <r>
    <n v="113"/>
    <x v="43"/>
    <x v="0"/>
    <x v="24"/>
    <x v="3"/>
    <n v="65"/>
    <s v="Florida"/>
    <x v="2"/>
    <x v="16"/>
    <x v="1"/>
    <x v="24"/>
    <x v="0"/>
    <x v="1"/>
    <x v="0"/>
    <x v="0"/>
    <n v="28"/>
    <x v="3"/>
    <x v="4"/>
  </r>
  <r>
    <n v="114"/>
    <x v="42"/>
    <x v="0"/>
    <x v="19"/>
    <x v="3"/>
    <n v="54"/>
    <s v="New Jersey"/>
    <x v="0"/>
    <x v="1"/>
    <x v="0"/>
    <x v="0"/>
    <x v="0"/>
    <x v="2"/>
    <x v="0"/>
    <x v="0"/>
    <n v="20"/>
    <x v="3"/>
    <x v="3"/>
  </r>
  <r>
    <n v="115"/>
    <x v="27"/>
    <x v="0"/>
    <x v="7"/>
    <x v="2"/>
    <n v="95"/>
    <s v="Massachusetts"/>
    <x v="1"/>
    <x v="24"/>
    <x v="2"/>
    <x v="18"/>
    <x v="0"/>
    <x v="5"/>
    <x v="0"/>
    <x v="0"/>
    <n v="9"/>
    <x v="1"/>
    <x v="1"/>
  </r>
  <r>
    <n v="116"/>
    <x v="10"/>
    <x v="0"/>
    <x v="11"/>
    <x v="0"/>
    <n v="94"/>
    <s v="Wyoming"/>
    <x v="2"/>
    <x v="0"/>
    <x v="1"/>
    <x v="22"/>
    <x v="0"/>
    <x v="3"/>
    <x v="0"/>
    <x v="0"/>
    <n v="48"/>
    <x v="5"/>
    <x v="6"/>
  </r>
  <r>
    <n v="117"/>
    <x v="0"/>
    <x v="0"/>
    <x v="9"/>
    <x v="1"/>
    <n v="86"/>
    <s v="Virginia"/>
    <x v="1"/>
    <x v="24"/>
    <x v="1"/>
    <x v="23"/>
    <x v="0"/>
    <x v="1"/>
    <x v="0"/>
    <x v="0"/>
    <n v="12"/>
    <x v="0"/>
    <x v="2"/>
  </r>
  <r>
    <n v="118"/>
    <x v="2"/>
    <x v="0"/>
    <x v="3"/>
    <x v="1"/>
    <n v="32"/>
    <s v="South Dakota"/>
    <x v="0"/>
    <x v="22"/>
    <x v="2"/>
    <x v="12"/>
    <x v="0"/>
    <x v="0"/>
    <x v="0"/>
    <x v="0"/>
    <n v="29"/>
    <x v="1"/>
    <x v="0"/>
  </r>
  <r>
    <n v="119"/>
    <x v="2"/>
    <x v="0"/>
    <x v="1"/>
    <x v="0"/>
    <n v="45"/>
    <s v="Kentucky"/>
    <x v="0"/>
    <x v="20"/>
    <x v="3"/>
    <x v="6"/>
    <x v="0"/>
    <x v="4"/>
    <x v="0"/>
    <x v="0"/>
    <n v="27"/>
    <x v="1"/>
    <x v="4"/>
  </r>
  <r>
    <n v="120"/>
    <x v="21"/>
    <x v="0"/>
    <x v="7"/>
    <x v="2"/>
    <n v="76"/>
    <s v="Wyoming"/>
    <x v="2"/>
    <x v="20"/>
    <x v="3"/>
    <x v="24"/>
    <x v="0"/>
    <x v="0"/>
    <x v="0"/>
    <x v="0"/>
    <n v="44"/>
    <x v="1"/>
    <x v="2"/>
  </r>
  <r>
    <n v="121"/>
    <x v="14"/>
    <x v="0"/>
    <x v="19"/>
    <x v="3"/>
    <n v="84"/>
    <s v="West Virginia"/>
    <x v="0"/>
    <x v="16"/>
    <x v="2"/>
    <x v="17"/>
    <x v="0"/>
    <x v="0"/>
    <x v="0"/>
    <x v="0"/>
    <n v="32"/>
    <x v="4"/>
    <x v="2"/>
  </r>
  <r>
    <n v="122"/>
    <x v="1"/>
    <x v="0"/>
    <x v="6"/>
    <x v="0"/>
    <n v="72"/>
    <s v="Virginia"/>
    <x v="2"/>
    <x v="8"/>
    <x v="0"/>
    <x v="19"/>
    <x v="0"/>
    <x v="3"/>
    <x v="0"/>
    <x v="0"/>
    <n v="11"/>
    <x v="1"/>
    <x v="0"/>
  </r>
  <r>
    <n v="123"/>
    <x v="37"/>
    <x v="0"/>
    <x v="21"/>
    <x v="3"/>
    <n v="40"/>
    <s v="Washington"/>
    <x v="0"/>
    <x v="18"/>
    <x v="1"/>
    <x v="6"/>
    <x v="0"/>
    <x v="4"/>
    <x v="0"/>
    <x v="0"/>
    <n v="44"/>
    <x v="1"/>
    <x v="0"/>
  </r>
  <r>
    <n v="124"/>
    <x v="9"/>
    <x v="0"/>
    <x v="1"/>
    <x v="0"/>
    <n v="89"/>
    <s v="Louisiana"/>
    <x v="0"/>
    <x v="18"/>
    <x v="3"/>
    <x v="0"/>
    <x v="0"/>
    <x v="1"/>
    <x v="0"/>
    <x v="0"/>
    <n v="46"/>
    <x v="1"/>
    <x v="1"/>
  </r>
  <r>
    <n v="125"/>
    <x v="42"/>
    <x v="0"/>
    <x v="1"/>
    <x v="0"/>
    <n v="86"/>
    <s v="Nevada"/>
    <x v="2"/>
    <x v="0"/>
    <x v="1"/>
    <x v="0"/>
    <x v="0"/>
    <x v="2"/>
    <x v="0"/>
    <x v="0"/>
    <n v="50"/>
    <x v="3"/>
    <x v="2"/>
  </r>
  <r>
    <n v="126"/>
    <x v="34"/>
    <x v="0"/>
    <x v="6"/>
    <x v="0"/>
    <n v="54"/>
    <s v="California"/>
    <x v="2"/>
    <x v="21"/>
    <x v="0"/>
    <x v="15"/>
    <x v="0"/>
    <x v="2"/>
    <x v="0"/>
    <x v="0"/>
    <n v="45"/>
    <x v="0"/>
    <x v="6"/>
  </r>
  <r>
    <n v="127"/>
    <x v="49"/>
    <x v="0"/>
    <x v="6"/>
    <x v="0"/>
    <n v="36"/>
    <s v="Mississippi"/>
    <x v="0"/>
    <x v="6"/>
    <x v="1"/>
    <x v="20"/>
    <x v="0"/>
    <x v="5"/>
    <x v="0"/>
    <x v="0"/>
    <n v="48"/>
    <x v="1"/>
    <x v="6"/>
  </r>
  <r>
    <n v="128"/>
    <x v="41"/>
    <x v="0"/>
    <x v="1"/>
    <x v="0"/>
    <n v="89"/>
    <s v="Mississippi"/>
    <x v="2"/>
    <x v="0"/>
    <x v="0"/>
    <x v="6"/>
    <x v="0"/>
    <x v="2"/>
    <x v="0"/>
    <x v="0"/>
    <n v="26"/>
    <x v="2"/>
    <x v="1"/>
  </r>
  <r>
    <n v="129"/>
    <x v="30"/>
    <x v="0"/>
    <x v="18"/>
    <x v="3"/>
    <n v="32"/>
    <s v="California"/>
    <x v="2"/>
    <x v="9"/>
    <x v="1"/>
    <x v="10"/>
    <x v="0"/>
    <x v="3"/>
    <x v="0"/>
    <x v="0"/>
    <n v="21"/>
    <x v="2"/>
    <x v="0"/>
  </r>
  <r>
    <n v="130"/>
    <x v="41"/>
    <x v="0"/>
    <x v="10"/>
    <x v="0"/>
    <n v="67"/>
    <s v="Pennsylvania"/>
    <x v="3"/>
    <x v="8"/>
    <x v="2"/>
    <x v="19"/>
    <x v="0"/>
    <x v="4"/>
    <x v="0"/>
    <x v="0"/>
    <n v="49"/>
    <x v="3"/>
    <x v="4"/>
  </r>
  <r>
    <n v="131"/>
    <x v="42"/>
    <x v="0"/>
    <x v="18"/>
    <x v="3"/>
    <n v="39"/>
    <s v="Kentucky"/>
    <x v="0"/>
    <x v="10"/>
    <x v="3"/>
    <x v="18"/>
    <x v="0"/>
    <x v="2"/>
    <x v="0"/>
    <x v="0"/>
    <n v="13"/>
    <x v="3"/>
    <x v="0"/>
  </r>
  <r>
    <n v="132"/>
    <x v="48"/>
    <x v="0"/>
    <x v="11"/>
    <x v="0"/>
    <n v="29"/>
    <s v="Maine"/>
    <x v="0"/>
    <x v="21"/>
    <x v="2"/>
    <x v="20"/>
    <x v="0"/>
    <x v="3"/>
    <x v="0"/>
    <x v="0"/>
    <n v="46"/>
    <x v="2"/>
    <x v="1"/>
  </r>
  <r>
    <n v="133"/>
    <x v="11"/>
    <x v="0"/>
    <x v="21"/>
    <x v="3"/>
    <n v="58"/>
    <s v="New Mexico"/>
    <x v="2"/>
    <x v="20"/>
    <x v="3"/>
    <x v="10"/>
    <x v="0"/>
    <x v="4"/>
    <x v="0"/>
    <x v="0"/>
    <n v="42"/>
    <x v="3"/>
    <x v="1"/>
  </r>
  <r>
    <n v="134"/>
    <x v="16"/>
    <x v="0"/>
    <x v="1"/>
    <x v="0"/>
    <n v="65"/>
    <s v="Montana"/>
    <x v="2"/>
    <x v="10"/>
    <x v="0"/>
    <x v="25"/>
    <x v="0"/>
    <x v="2"/>
    <x v="0"/>
    <x v="0"/>
    <n v="25"/>
    <x v="0"/>
    <x v="2"/>
  </r>
  <r>
    <n v="135"/>
    <x v="49"/>
    <x v="0"/>
    <x v="19"/>
    <x v="3"/>
    <n v="94"/>
    <s v="Texas"/>
    <x v="0"/>
    <x v="0"/>
    <x v="3"/>
    <x v="8"/>
    <x v="0"/>
    <x v="5"/>
    <x v="0"/>
    <x v="0"/>
    <n v="25"/>
    <x v="1"/>
    <x v="5"/>
  </r>
  <r>
    <n v="136"/>
    <x v="49"/>
    <x v="0"/>
    <x v="3"/>
    <x v="1"/>
    <n v="81"/>
    <s v="Kansas"/>
    <x v="2"/>
    <x v="7"/>
    <x v="3"/>
    <x v="7"/>
    <x v="0"/>
    <x v="0"/>
    <x v="0"/>
    <x v="0"/>
    <n v="12"/>
    <x v="3"/>
    <x v="3"/>
  </r>
  <r>
    <n v="137"/>
    <x v="31"/>
    <x v="0"/>
    <x v="0"/>
    <x v="0"/>
    <n v="86"/>
    <s v="South Carolina"/>
    <x v="2"/>
    <x v="3"/>
    <x v="0"/>
    <x v="13"/>
    <x v="0"/>
    <x v="1"/>
    <x v="0"/>
    <x v="0"/>
    <n v="4"/>
    <x v="5"/>
    <x v="3"/>
  </r>
  <r>
    <n v="138"/>
    <x v="33"/>
    <x v="0"/>
    <x v="4"/>
    <x v="1"/>
    <n v="43"/>
    <s v="Colorado"/>
    <x v="2"/>
    <x v="2"/>
    <x v="1"/>
    <x v="10"/>
    <x v="0"/>
    <x v="1"/>
    <x v="0"/>
    <x v="0"/>
    <n v="38"/>
    <x v="3"/>
    <x v="1"/>
  </r>
  <r>
    <n v="139"/>
    <x v="33"/>
    <x v="0"/>
    <x v="11"/>
    <x v="0"/>
    <n v="29"/>
    <s v="Georgia"/>
    <x v="2"/>
    <x v="1"/>
    <x v="0"/>
    <x v="14"/>
    <x v="0"/>
    <x v="5"/>
    <x v="0"/>
    <x v="0"/>
    <n v="42"/>
    <x v="4"/>
    <x v="1"/>
  </r>
  <r>
    <n v="140"/>
    <x v="34"/>
    <x v="0"/>
    <x v="7"/>
    <x v="2"/>
    <n v="95"/>
    <s v="Florida"/>
    <x v="2"/>
    <x v="3"/>
    <x v="3"/>
    <x v="22"/>
    <x v="0"/>
    <x v="5"/>
    <x v="0"/>
    <x v="0"/>
    <n v="30"/>
    <x v="0"/>
    <x v="2"/>
  </r>
  <r>
    <n v="141"/>
    <x v="6"/>
    <x v="0"/>
    <x v="5"/>
    <x v="0"/>
    <n v="28"/>
    <s v="North Carolina"/>
    <x v="0"/>
    <x v="22"/>
    <x v="3"/>
    <x v="20"/>
    <x v="0"/>
    <x v="4"/>
    <x v="0"/>
    <x v="0"/>
    <n v="50"/>
    <x v="2"/>
    <x v="1"/>
  </r>
  <r>
    <n v="142"/>
    <x v="19"/>
    <x v="0"/>
    <x v="24"/>
    <x v="3"/>
    <n v="46"/>
    <s v="Virginia"/>
    <x v="2"/>
    <x v="2"/>
    <x v="3"/>
    <x v="8"/>
    <x v="0"/>
    <x v="1"/>
    <x v="0"/>
    <x v="0"/>
    <n v="45"/>
    <x v="3"/>
    <x v="1"/>
  </r>
  <r>
    <n v="143"/>
    <x v="43"/>
    <x v="0"/>
    <x v="14"/>
    <x v="2"/>
    <n v="58"/>
    <s v="Nebraska"/>
    <x v="0"/>
    <x v="10"/>
    <x v="3"/>
    <x v="0"/>
    <x v="0"/>
    <x v="1"/>
    <x v="0"/>
    <x v="0"/>
    <n v="33"/>
    <x v="2"/>
    <x v="0"/>
  </r>
  <r>
    <n v="144"/>
    <x v="11"/>
    <x v="0"/>
    <x v="7"/>
    <x v="2"/>
    <n v="48"/>
    <s v="Missouri"/>
    <x v="2"/>
    <x v="19"/>
    <x v="3"/>
    <x v="2"/>
    <x v="0"/>
    <x v="5"/>
    <x v="0"/>
    <x v="0"/>
    <n v="25"/>
    <x v="3"/>
    <x v="3"/>
  </r>
  <r>
    <n v="145"/>
    <x v="1"/>
    <x v="0"/>
    <x v="9"/>
    <x v="1"/>
    <n v="43"/>
    <s v="New Jersey"/>
    <x v="2"/>
    <x v="5"/>
    <x v="3"/>
    <x v="4"/>
    <x v="0"/>
    <x v="0"/>
    <x v="0"/>
    <x v="0"/>
    <n v="25"/>
    <x v="1"/>
    <x v="5"/>
  </r>
  <r>
    <n v="146"/>
    <x v="41"/>
    <x v="0"/>
    <x v="16"/>
    <x v="3"/>
    <n v="95"/>
    <s v="Missouri"/>
    <x v="2"/>
    <x v="11"/>
    <x v="3"/>
    <x v="9"/>
    <x v="0"/>
    <x v="3"/>
    <x v="0"/>
    <x v="0"/>
    <n v="44"/>
    <x v="5"/>
    <x v="3"/>
  </r>
  <r>
    <n v="147"/>
    <x v="16"/>
    <x v="0"/>
    <x v="11"/>
    <x v="0"/>
    <n v="30"/>
    <s v="Colorado"/>
    <x v="1"/>
    <x v="13"/>
    <x v="3"/>
    <x v="17"/>
    <x v="0"/>
    <x v="3"/>
    <x v="0"/>
    <x v="0"/>
    <n v="21"/>
    <x v="0"/>
    <x v="0"/>
  </r>
  <r>
    <n v="148"/>
    <x v="6"/>
    <x v="0"/>
    <x v="9"/>
    <x v="1"/>
    <n v="64"/>
    <s v="Idaho"/>
    <x v="2"/>
    <x v="7"/>
    <x v="2"/>
    <x v="1"/>
    <x v="0"/>
    <x v="4"/>
    <x v="0"/>
    <x v="0"/>
    <n v="31"/>
    <x v="4"/>
    <x v="0"/>
  </r>
  <r>
    <n v="149"/>
    <x v="43"/>
    <x v="0"/>
    <x v="24"/>
    <x v="3"/>
    <n v="90"/>
    <s v="Wyoming"/>
    <x v="2"/>
    <x v="0"/>
    <x v="3"/>
    <x v="5"/>
    <x v="0"/>
    <x v="5"/>
    <x v="0"/>
    <x v="0"/>
    <n v="47"/>
    <x v="5"/>
    <x v="2"/>
  </r>
  <r>
    <n v="150"/>
    <x v="21"/>
    <x v="0"/>
    <x v="13"/>
    <x v="0"/>
    <n v="76"/>
    <s v="Delaware"/>
    <x v="2"/>
    <x v="3"/>
    <x v="2"/>
    <x v="4"/>
    <x v="0"/>
    <x v="1"/>
    <x v="0"/>
    <x v="0"/>
    <n v="14"/>
    <x v="3"/>
    <x v="5"/>
  </r>
  <r>
    <n v="151"/>
    <x v="25"/>
    <x v="0"/>
    <x v="23"/>
    <x v="1"/>
    <n v="96"/>
    <s v="California"/>
    <x v="0"/>
    <x v="17"/>
    <x v="3"/>
    <x v="8"/>
    <x v="0"/>
    <x v="3"/>
    <x v="0"/>
    <x v="0"/>
    <n v="17"/>
    <x v="5"/>
    <x v="6"/>
  </r>
  <r>
    <n v="152"/>
    <x v="48"/>
    <x v="0"/>
    <x v="12"/>
    <x v="3"/>
    <n v="47"/>
    <s v="North Dakota"/>
    <x v="0"/>
    <x v="2"/>
    <x v="3"/>
    <x v="9"/>
    <x v="0"/>
    <x v="2"/>
    <x v="0"/>
    <x v="0"/>
    <n v="3"/>
    <x v="0"/>
    <x v="2"/>
  </r>
  <r>
    <n v="153"/>
    <x v="11"/>
    <x v="0"/>
    <x v="5"/>
    <x v="0"/>
    <n v="85"/>
    <s v="South Carolina"/>
    <x v="1"/>
    <x v="18"/>
    <x v="2"/>
    <x v="24"/>
    <x v="0"/>
    <x v="0"/>
    <x v="0"/>
    <x v="0"/>
    <n v="42"/>
    <x v="0"/>
    <x v="2"/>
  </r>
  <r>
    <n v="154"/>
    <x v="28"/>
    <x v="0"/>
    <x v="15"/>
    <x v="0"/>
    <n v="55"/>
    <s v="North Carolina"/>
    <x v="2"/>
    <x v="1"/>
    <x v="0"/>
    <x v="4"/>
    <x v="0"/>
    <x v="3"/>
    <x v="0"/>
    <x v="0"/>
    <n v="22"/>
    <x v="5"/>
    <x v="2"/>
  </r>
  <r>
    <n v="155"/>
    <x v="38"/>
    <x v="0"/>
    <x v="10"/>
    <x v="0"/>
    <n v="98"/>
    <s v="Oklahoma"/>
    <x v="2"/>
    <x v="4"/>
    <x v="3"/>
    <x v="15"/>
    <x v="0"/>
    <x v="2"/>
    <x v="0"/>
    <x v="0"/>
    <n v="21"/>
    <x v="0"/>
    <x v="3"/>
  </r>
  <r>
    <n v="156"/>
    <x v="6"/>
    <x v="0"/>
    <x v="20"/>
    <x v="0"/>
    <n v="77"/>
    <s v="Maine"/>
    <x v="1"/>
    <x v="8"/>
    <x v="1"/>
    <x v="24"/>
    <x v="0"/>
    <x v="1"/>
    <x v="0"/>
    <x v="0"/>
    <n v="21"/>
    <x v="4"/>
    <x v="3"/>
  </r>
  <r>
    <n v="157"/>
    <x v="25"/>
    <x v="0"/>
    <x v="6"/>
    <x v="0"/>
    <n v="26"/>
    <s v="Missouri"/>
    <x v="2"/>
    <x v="12"/>
    <x v="3"/>
    <x v="17"/>
    <x v="0"/>
    <x v="3"/>
    <x v="0"/>
    <x v="0"/>
    <n v="40"/>
    <x v="5"/>
    <x v="2"/>
  </r>
  <r>
    <n v="158"/>
    <x v="24"/>
    <x v="0"/>
    <x v="19"/>
    <x v="3"/>
    <n v="68"/>
    <s v="Vermont"/>
    <x v="1"/>
    <x v="22"/>
    <x v="3"/>
    <x v="21"/>
    <x v="0"/>
    <x v="2"/>
    <x v="0"/>
    <x v="0"/>
    <n v="1"/>
    <x v="4"/>
    <x v="0"/>
  </r>
  <r>
    <n v="159"/>
    <x v="15"/>
    <x v="0"/>
    <x v="5"/>
    <x v="0"/>
    <n v="73"/>
    <s v="Connecticut"/>
    <x v="3"/>
    <x v="11"/>
    <x v="3"/>
    <x v="7"/>
    <x v="0"/>
    <x v="3"/>
    <x v="0"/>
    <x v="0"/>
    <n v="50"/>
    <x v="4"/>
    <x v="5"/>
  </r>
  <r>
    <n v="160"/>
    <x v="44"/>
    <x v="0"/>
    <x v="24"/>
    <x v="3"/>
    <n v="27"/>
    <s v="New Hampshire"/>
    <x v="2"/>
    <x v="4"/>
    <x v="3"/>
    <x v="22"/>
    <x v="0"/>
    <x v="5"/>
    <x v="0"/>
    <x v="0"/>
    <n v="39"/>
    <x v="4"/>
    <x v="6"/>
  </r>
  <r>
    <n v="161"/>
    <x v="7"/>
    <x v="0"/>
    <x v="24"/>
    <x v="3"/>
    <n v="23"/>
    <s v="Texas"/>
    <x v="2"/>
    <x v="20"/>
    <x v="2"/>
    <x v="12"/>
    <x v="0"/>
    <x v="1"/>
    <x v="0"/>
    <x v="0"/>
    <n v="34"/>
    <x v="0"/>
    <x v="5"/>
  </r>
  <r>
    <n v="162"/>
    <x v="13"/>
    <x v="0"/>
    <x v="21"/>
    <x v="3"/>
    <n v="49"/>
    <s v="North Dakota"/>
    <x v="2"/>
    <x v="8"/>
    <x v="3"/>
    <x v="21"/>
    <x v="0"/>
    <x v="0"/>
    <x v="0"/>
    <x v="0"/>
    <n v="29"/>
    <x v="0"/>
    <x v="0"/>
  </r>
  <r>
    <n v="163"/>
    <x v="22"/>
    <x v="0"/>
    <x v="12"/>
    <x v="3"/>
    <n v="74"/>
    <s v="California"/>
    <x v="2"/>
    <x v="2"/>
    <x v="2"/>
    <x v="21"/>
    <x v="0"/>
    <x v="5"/>
    <x v="0"/>
    <x v="0"/>
    <n v="31"/>
    <x v="3"/>
    <x v="4"/>
  </r>
  <r>
    <n v="164"/>
    <x v="22"/>
    <x v="0"/>
    <x v="11"/>
    <x v="0"/>
    <n v="67"/>
    <s v="Virginia"/>
    <x v="2"/>
    <x v="7"/>
    <x v="2"/>
    <x v="23"/>
    <x v="0"/>
    <x v="3"/>
    <x v="0"/>
    <x v="0"/>
    <n v="8"/>
    <x v="5"/>
    <x v="1"/>
  </r>
  <r>
    <n v="165"/>
    <x v="35"/>
    <x v="0"/>
    <x v="8"/>
    <x v="3"/>
    <n v="65"/>
    <s v="Delaware"/>
    <x v="1"/>
    <x v="7"/>
    <x v="1"/>
    <x v="5"/>
    <x v="0"/>
    <x v="1"/>
    <x v="0"/>
    <x v="0"/>
    <n v="5"/>
    <x v="2"/>
    <x v="0"/>
  </r>
  <r>
    <n v="166"/>
    <x v="32"/>
    <x v="0"/>
    <x v="8"/>
    <x v="3"/>
    <n v="60"/>
    <s v="Kentucky"/>
    <x v="1"/>
    <x v="22"/>
    <x v="0"/>
    <x v="11"/>
    <x v="0"/>
    <x v="5"/>
    <x v="0"/>
    <x v="0"/>
    <n v="7"/>
    <x v="1"/>
    <x v="5"/>
  </r>
  <r>
    <n v="167"/>
    <x v="5"/>
    <x v="0"/>
    <x v="4"/>
    <x v="1"/>
    <n v="31"/>
    <s v="Delaware"/>
    <x v="3"/>
    <x v="21"/>
    <x v="3"/>
    <x v="17"/>
    <x v="0"/>
    <x v="5"/>
    <x v="0"/>
    <x v="0"/>
    <n v="30"/>
    <x v="1"/>
    <x v="5"/>
  </r>
  <r>
    <n v="168"/>
    <x v="23"/>
    <x v="0"/>
    <x v="24"/>
    <x v="3"/>
    <n v="27"/>
    <s v="Arkansas"/>
    <x v="2"/>
    <x v="14"/>
    <x v="3"/>
    <x v="17"/>
    <x v="0"/>
    <x v="0"/>
    <x v="0"/>
    <x v="0"/>
    <n v="14"/>
    <x v="2"/>
    <x v="6"/>
  </r>
  <r>
    <n v="169"/>
    <x v="50"/>
    <x v="0"/>
    <x v="9"/>
    <x v="1"/>
    <n v="80"/>
    <s v="Louisiana"/>
    <x v="2"/>
    <x v="23"/>
    <x v="2"/>
    <x v="21"/>
    <x v="0"/>
    <x v="0"/>
    <x v="0"/>
    <x v="0"/>
    <n v="5"/>
    <x v="1"/>
    <x v="0"/>
  </r>
  <r>
    <n v="170"/>
    <x v="7"/>
    <x v="0"/>
    <x v="14"/>
    <x v="2"/>
    <n v="30"/>
    <s v="Nevada"/>
    <x v="1"/>
    <x v="9"/>
    <x v="2"/>
    <x v="13"/>
    <x v="0"/>
    <x v="3"/>
    <x v="0"/>
    <x v="0"/>
    <n v="3"/>
    <x v="3"/>
    <x v="6"/>
  </r>
  <r>
    <n v="171"/>
    <x v="16"/>
    <x v="0"/>
    <x v="5"/>
    <x v="0"/>
    <n v="25"/>
    <s v="Wyoming"/>
    <x v="2"/>
    <x v="1"/>
    <x v="3"/>
    <x v="5"/>
    <x v="0"/>
    <x v="5"/>
    <x v="0"/>
    <x v="0"/>
    <n v="46"/>
    <x v="0"/>
    <x v="4"/>
  </r>
  <r>
    <n v="172"/>
    <x v="26"/>
    <x v="0"/>
    <x v="6"/>
    <x v="0"/>
    <n v="35"/>
    <s v="Virginia"/>
    <x v="2"/>
    <x v="24"/>
    <x v="2"/>
    <x v="15"/>
    <x v="0"/>
    <x v="5"/>
    <x v="0"/>
    <x v="0"/>
    <n v="4"/>
    <x v="2"/>
    <x v="1"/>
  </r>
  <r>
    <n v="173"/>
    <x v="22"/>
    <x v="0"/>
    <x v="16"/>
    <x v="3"/>
    <n v="67"/>
    <s v="Nebraska"/>
    <x v="2"/>
    <x v="10"/>
    <x v="2"/>
    <x v="20"/>
    <x v="0"/>
    <x v="2"/>
    <x v="0"/>
    <x v="0"/>
    <n v="42"/>
    <x v="2"/>
    <x v="4"/>
  </r>
  <r>
    <n v="174"/>
    <x v="15"/>
    <x v="0"/>
    <x v="19"/>
    <x v="3"/>
    <n v="46"/>
    <s v="Hawaii"/>
    <x v="2"/>
    <x v="2"/>
    <x v="3"/>
    <x v="23"/>
    <x v="0"/>
    <x v="3"/>
    <x v="0"/>
    <x v="0"/>
    <n v="30"/>
    <x v="1"/>
    <x v="2"/>
  </r>
  <r>
    <n v="175"/>
    <x v="38"/>
    <x v="0"/>
    <x v="9"/>
    <x v="1"/>
    <n v="35"/>
    <s v="Vermont"/>
    <x v="0"/>
    <x v="18"/>
    <x v="0"/>
    <x v="1"/>
    <x v="0"/>
    <x v="0"/>
    <x v="0"/>
    <x v="0"/>
    <n v="37"/>
    <x v="0"/>
    <x v="2"/>
  </r>
  <r>
    <n v="176"/>
    <x v="10"/>
    <x v="0"/>
    <x v="7"/>
    <x v="2"/>
    <n v="86"/>
    <s v="Oklahoma"/>
    <x v="0"/>
    <x v="10"/>
    <x v="3"/>
    <x v="11"/>
    <x v="0"/>
    <x v="2"/>
    <x v="0"/>
    <x v="0"/>
    <n v="2"/>
    <x v="4"/>
    <x v="2"/>
  </r>
  <r>
    <n v="177"/>
    <x v="10"/>
    <x v="0"/>
    <x v="21"/>
    <x v="3"/>
    <n v="81"/>
    <s v="New Hampshire"/>
    <x v="0"/>
    <x v="13"/>
    <x v="1"/>
    <x v="2"/>
    <x v="0"/>
    <x v="2"/>
    <x v="0"/>
    <x v="0"/>
    <n v="30"/>
    <x v="2"/>
    <x v="3"/>
  </r>
  <r>
    <n v="178"/>
    <x v="3"/>
    <x v="0"/>
    <x v="15"/>
    <x v="0"/>
    <n v="42"/>
    <s v="Kansas"/>
    <x v="0"/>
    <x v="23"/>
    <x v="3"/>
    <x v="18"/>
    <x v="0"/>
    <x v="2"/>
    <x v="0"/>
    <x v="0"/>
    <n v="47"/>
    <x v="4"/>
    <x v="5"/>
  </r>
  <r>
    <n v="179"/>
    <x v="12"/>
    <x v="0"/>
    <x v="11"/>
    <x v="0"/>
    <n v="43"/>
    <s v="Idaho"/>
    <x v="0"/>
    <x v="12"/>
    <x v="3"/>
    <x v="24"/>
    <x v="0"/>
    <x v="4"/>
    <x v="0"/>
    <x v="0"/>
    <n v="21"/>
    <x v="3"/>
    <x v="3"/>
  </r>
  <r>
    <n v="180"/>
    <x v="14"/>
    <x v="0"/>
    <x v="23"/>
    <x v="1"/>
    <n v="31"/>
    <s v="Illinois"/>
    <x v="2"/>
    <x v="10"/>
    <x v="3"/>
    <x v="8"/>
    <x v="0"/>
    <x v="5"/>
    <x v="0"/>
    <x v="0"/>
    <n v="9"/>
    <x v="4"/>
    <x v="0"/>
  </r>
  <r>
    <n v="181"/>
    <x v="47"/>
    <x v="0"/>
    <x v="3"/>
    <x v="1"/>
    <n v="81"/>
    <s v="South Dakota"/>
    <x v="0"/>
    <x v="14"/>
    <x v="3"/>
    <x v="13"/>
    <x v="0"/>
    <x v="5"/>
    <x v="0"/>
    <x v="0"/>
    <n v="12"/>
    <x v="5"/>
    <x v="0"/>
  </r>
  <r>
    <n v="182"/>
    <x v="45"/>
    <x v="0"/>
    <x v="13"/>
    <x v="0"/>
    <n v="61"/>
    <s v="Massachusetts"/>
    <x v="2"/>
    <x v="19"/>
    <x v="2"/>
    <x v="10"/>
    <x v="0"/>
    <x v="2"/>
    <x v="0"/>
    <x v="0"/>
    <n v="4"/>
    <x v="4"/>
    <x v="1"/>
  </r>
  <r>
    <n v="183"/>
    <x v="21"/>
    <x v="0"/>
    <x v="24"/>
    <x v="3"/>
    <n v="96"/>
    <s v="Alabama"/>
    <x v="3"/>
    <x v="7"/>
    <x v="2"/>
    <x v="11"/>
    <x v="0"/>
    <x v="5"/>
    <x v="0"/>
    <x v="0"/>
    <n v="10"/>
    <x v="5"/>
    <x v="2"/>
  </r>
  <r>
    <n v="184"/>
    <x v="44"/>
    <x v="0"/>
    <x v="11"/>
    <x v="0"/>
    <n v="29"/>
    <s v="Ohio"/>
    <x v="3"/>
    <x v="19"/>
    <x v="1"/>
    <x v="15"/>
    <x v="0"/>
    <x v="4"/>
    <x v="0"/>
    <x v="0"/>
    <n v="26"/>
    <x v="2"/>
    <x v="1"/>
  </r>
  <r>
    <n v="185"/>
    <x v="45"/>
    <x v="0"/>
    <x v="4"/>
    <x v="1"/>
    <n v="33"/>
    <s v="Hawaii"/>
    <x v="0"/>
    <x v="17"/>
    <x v="1"/>
    <x v="21"/>
    <x v="0"/>
    <x v="0"/>
    <x v="0"/>
    <x v="0"/>
    <n v="40"/>
    <x v="1"/>
    <x v="0"/>
  </r>
  <r>
    <n v="186"/>
    <x v="5"/>
    <x v="0"/>
    <x v="17"/>
    <x v="0"/>
    <n v="32"/>
    <s v="Wisconsin"/>
    <x v="3"/>
    <x v="5"/>
    <x v="2"/>
    <x v="9"/>
    <x v="0"/>
    <x v="5"/>
    <x v="0"/>
    <x v="0"/>
    <n v="34"/>
    <x v="4"/>
    <x v="0"/>
  </r>
  <r>
    <n v="187"/>
    <x v="31"/>
    <x v="0"/>
    <x v="21"/>
    <x v="3"/>
    <n v="56"/>
    <s v="Minnesota"/>
    <x v="1"/>
    <x v="12"/>
    <x v="2"/>
    <x v="3"/>
    <x v="0"/>
    <x v="3"/>
    <x v="0"/>
    <x v="0"/>
    <n v="31"/>
    <x v="5"/>
    <x v="2"/>
  </r>
  <r>
    <n v="188"/>
    <x v="1"/>
    <x v="0"/>
    <x v="9"/>
    <x v="1"/>
    <n v="94"/>
    <s v="Georgia"/>
    <x v="1"/>
    <x v="7"/>
    <x v="1"/>
    <x v="13"/>
    <x v="0"/>
    <x v="5"/>
    <x v="0"/>
    <x v="0"/>
    <n v="1"/>
    <x v="4"/>
    <x v="4"/>
  </r>
  <r>
    <n v="189"/>
    <x v="2"/>
    <x v="0"/>
    <x v="15"/>
    <x v="0"/>
    <n v="53"/>
    <s v="Arkansas"/>
    <x v="2"/>
    <x v="6"/>
    <x v="1"/>
    <x v="0"/>
    <x v="0"/>
    <x v="0"/>
    <x v="0"/>
    <x v="0"/>
    <n v="5"/>
    <x v="4"/>
    <x v="4"/>
  </r>
  <r>
    <n v="190"/>
    <x v="24"/>
    <x v="0"/>
    <x v="0"/>
    <x v="0"/>
    <n v="82"/>
    <s v="West Virginia"/>
    <x v="2"/>
    <x v="1"/>
    <x v="3"/>
    <x v="14"/>
    <x v="0"/>
    <x v="2"/>
    <x v="0"/>
    <x v="0"/>
    <n v="4"/>
    <x v="2"/>
    <x v="1"/>
  </r>
  <r>
    <n v="191"/>
    <x v="13"/>
    <x v="0"/>
    <x v="7"/>
    <x v="2"/>
    <n v="70"/>
    <s v="Indiana"/>
    <x v="3"/>
    <x v="19"/>
    <x v="3"/>
    <x v="21"/>
    <x v="0"/>
    <x v="1"/>
    <x v="0"/>
    <x v="0"/>
    <n v="48"/>
    <x v="0"/>
    <x v="3"/>
  </r>
  <r>
    <n v="192"/>
    <x v="14"/>
    <x v="0"/>
    <x v="19"/>
    <x v="3"/>
    <n v="76"/>
    <s v="Utah"/>
    <x v="2"/>
    <x v="0"/>
    <x v="3"/>
    <x v="20"/>
    <x v="0"/>
    <x v="1"/>
    <x v="0"/>
    <x v="0"/>
    <n v="29"/>
    <x v="1"/>
    <x v="6"/>
  </r>
  <r>
    <n v="193"/>
    <x v="5"/>
    <x v="0"/>
    <x v="9"/>
    <x v="1"/>
    <n v="29"/>
    <s v="Nebraska"/>
    <x v="0"/>
    <x v="2"/>
    <x v="2"/>
    <x v="3"/>
    <x v="0"/>
    <x v="0"/>
    <x v="0"/>
    <x v="0"/>
    <n v="12"/>
    <x v="3"/>
    <x v="4"/>
  </r>
  <r>
    <n v="194"/>
    <x v="24"/>
    <x v="0"/>
    <x v="22"/>
    <x v="3"/>
    <n v="100"/>
    <s v="North Dakota"/>
    <x v="1"/>
    <x v="5"/>
    <x v="3"/>
    <x v="21"/>
    <x v="0"/>
    <x v="3"/>
    <x v="0"/>
    <x v="0"/>
    <n v="29"/>
    <x v="0"/>
    <x v="2"/>
  </r>
  <r>
    <n v="195"/>
    <x v="47"/>
    <x v="0"/>
    <x v="21"/>
    <x v="3"/>
    <n v="94"/>
    <s v="Missouri"/>
    <x v="2"/>
    <x v="8"/>
    <x v="1"/>
    <x v="0"/>
    <x v="0"/>
    <x v="0"/>
    <x v="0"/>
    <x v="0"/>
    <n v="15"/>
    <x v="5"/>
    <x v="3"/>
  </r>
  <r>
    <n v="196"/>
    <x v="47"/>
    <x v="0"/>
    <x v="14"/>
    <x v="2"/>
    <n v="25"/>
    <s v="New York"/>
    <x v="2"/>
    <x v="23"/>
    <x v="3"/>
    <x v="24"/>
    <x v="0"/>
    <x v="1"/>
    <x v="0"/>
    <x v="0"/>
    <n v="34"/>
    <x v="2"/>
    <x v="5"/>
  </r>
  <r>
    <n v="197"/>
    <x v="21"/>
    <x v="0"/>
    <x v="23"/>
    <x v="1"/>
    <n v="88"/>
    <s v="Washington"/>
    <x v="2"/>
    <x v="12"/>
    <x v="2"/>
    <x v="20"/>
    <x v="0"/>
    <x v="2"/>
    <x v="0"/>
    <x v="0"/>
    <n v="41"/>
    <x v="2"/>
    <x v="0"/>
  </r>
  <r>
    <n v="198"/>
    <x v="35"/>
    <x v="0"/>
    <x v="18"/>
    <x v="3"/>
    <n v="78"/>
    <s v="South Carolina"/>
    <x v="2"/>
    <x v="13"/>
    <x v="3"/>
    <x v="4"/>
    <x v="0"/>
    <x v="4"/>
    <x v="0"/>
    <x v="0"/>
    <n v="41"/>
    <x v="2"/>
    <x v="5"/>
  </r>
  <r>
    <n v="199"/>
    <x v="9"/>
    <x v="0"/>
    <x v="16"/>
    <x v="3"/>
    <n v="45"/>
    <s v="Utah"/>
    <x v="2"/>
    <x v="2"/>
    <x v="0"/>
    <x v="6"/>
    <x v="0"/>
    <x v="3"/>
    <x v="0"/>
    <x v="0"/>
    <n v="39"/>
    <x v="2"/>
    <x v="0"/>
  </r>
  <r>
    <n v="200"/>
    <x v="22"/>
    <x v="0"/>
    <x v="19"/>
    <x v="3"/>
    <n v="73"/>
    <s v="Idaho"/>
    <x v="3"/>
    <x v="14"/>
    <x v="2"/>
    <x v="22"/>
    <x v="0"/>
    <x v="0"/>
    <x v="0"/>
    <x v="0"/>
    <n v="32"/>
    <x v="1"/>
    <x v="1"/>
  </r>
  <r>
    <n v="201"/>
    <x v="15"/>
    <x v="0"/>
    <x v="10"/>
    <x v="0"/>
    <n v="61"/>
    <s v="Pennsylvania"/>
    <x v="1"/>
    <x v="11"/>
    <x v="2"/>
    <x v="13"/>
    <x v="0"/>
    <x v="2"/>
    <x v="0"/>
    <x v="0"/>
    <n v="29"/>
    <x v="0"/>
    <x v="5"/>
  </r>
  <r>
    <n v="202"/>
    <x v="28"/>
    <x v="0"/>
    <x v="0"/>
    <x v="0"/>
    <n v="22"/>
    <s v="Missouri"/>
    <x v="1"/>
    <x v="19"/>
    <x v="3"/>
    <x v="24"/>
    <x v="0"/>
    <x v="1"/>
    <x v="0"/>
    <x v="0"/>
    <n v="15"/>
    <x v="4"/>
    <x v="2"/>
  </r>
  <r>
    <n v="203"/>
    <x v="9"/>
    <x v="0"/>
    <x v="19"/>
    <x v="3"/>
    <n v="38"/>
    <s v="Nebraska"/>
    <x v="0"/>
    <x v="23"/>
    <x v="1"/>
    <x v="2"/>
    <x v="0"/>
    <x v="0"/>
    <x v="0"/>
    <x v="0"/>
    <n v="33"/>
    <x v="0"/>
    <x v="2"/>
  </r>
  <r>
    <n v="204"/>
    <x v="27"/>
    <x v="0"/>
    <x v="18"/>
    <x v="3"/>
    <n v="38"/>
    <s v="Indiana"/>
    <x v="1"/>
    <x v="22"/>
    <x v="3"/>
    <x v="4"/>
    <x v="0"/>
    <x v="2"/>
    <x v="0"/>
    <x v="0"/>
    <n v="18"/>
    <x v="4"/>
    <x v="1"/>
  </r>
  <r>
    <n v="205"/>
    <x v="41"/>
    <x v="0"/>
    <x v="4"/>
    <x v="1"/>
    <n v="100"/>
    <s v="Arizona"/>
    <x v="2"/>
    <x v="22"/>
    <x v="3"/>
    <x v="17"/>
    <x v="0"/>
    <x v="5"/>
    <x v="0"/>
    <x v="0"/>
    <n v="35"/>
    <x v="1"/>
    <x v="4"/>
  </r>
  <r>
    <n v="206"/>
    <x v="29"/>
    <x v="0"/>
    <x v="5"/>
    <x v="0"/>
    <n v="64"/>
    <s v="Hawaii"/>
    <x v="2"/>
    <x v="5"/>
    <x v="0"/>
    <x v="21"/>
    <x v="0"/>
    <x v="3"/>
    <x v="0"/>
    <x v="0"/>
    <n v="25"/>
    <x v="3"/>
    <x v="1"/>
  </r>
  <r>
    <n v="207"/>
    <x v="41"/>
    <x v="0"/>
    <x v="17"/>
    <x v="0"/>
    <n v="55"/>
    <s v="Wisconsin"/>
    <x v="0"/>
    <x v="5"/>
    <x v="2"/>
    <x v="19"/>
    <x v="0"/>
    <x v="1"/>
    <x v="0"/>
    <x v="0"/>
    <n v="6"/>
    <x v="0"/>
    <x v="0"/>
  </r>
  <r>
    <n v="208"/>
    <x v="46"/>
    <x v="0"/>
    <x v="24"/>
    <x v="3"/>
    <n v="91"/>
    <s v="Rhode Island"/>
    <x v="2"/>
    <x v="5"/>
    <x v="2"/>
    <x v="3"/>
    <x v="0"/>
    <x v="0"/>
    <x v="0"/>
    <x v="0"/>
    <n v="17"/>
    <x v="4"/>
    <x v="4"/>
  </r>
  <r>
    <n v="209"/>
    <x v="9"/>
    <x v="0"/>
    <x v="11"/>
    <x v="0"/>
    <n v="38"/>
    <s v="Wisconsin"/>
    <x v="2"/>
    <x v="9"/>
    <x v="1"/>
    <x v="7"/>
    <x v="0"/>
    <x v="5"/>
    <x v="0"/>
    <x v="0"/>
    <n v="17"/>
    <x v="2"/>
    <x v="5"/>
  </r>
  <r>
    <n v="210"/>
    <x v="0"/>
    <x v="0"/>
    <x v="3"/>
    <x v="1"/>
    <n v="97"/>
    <s v="Minnesota"/>
    <x v="1"/>
    <x v="8"/>
    <x v="0"/>
    <x v="4"/>
    <x v="0"/>
    <x v="5"/>
    <x v="0"/>
    <x v="0"/>
    <n v="44"/>
    <x v="1"/>
    <x v="6"/>
  </r>
  <r>
    <n v="211"/>
    <x v="4"/>
    <x v="0"/>
    <x v="14"/>
    <x v="2"/>
    <n v="22"/>
    <s v="Vermont"/>
    <x v="0"/>
    <x v="11"/>
    <x v="3"/>
    <x v="21"/>
    <x v="0"/>
    <x v="4"/>
    <x v="0"/>
    <x v="0"/>
    <n v="6"/>
    <x v="3"/>
    <x v="0"/>
  </r>
  <r>
    <n v="212"/>
    <x v="28"/>
    <x v="0"/>
    <x v="11"/>
    <x v="0"/>
    <n v="92"/>
    <s v="South Dakota"/>
    <x v="0"/>
    <x v="1"/>
    <x v="3"/>
    <x v="19"/>
    <x v="0"/>
    <x v="4"/>
    <x v="0"/>
    <x v="0"/>
    <n v="45"/>
    <x v="5"/>
    <x v="0"/>
  </r>
  <r>
    <n v="213"/>
    <x v="29"/>
    <x v="0"/>
    <x v="8"/>
    <x v="3"/>
    <n v="84"/>
    <s v="Virginia"/>
    <x v="0"/>
    <x v="24"/>
    <x v="3"/>
    <x v="19"/>
    <x v="0"/>
    <x v="0"/>
    <x v="0"/>
    <x v="0"/>
    <n v="7"/>
    <x v="5"/>
    <x v="2"/>
  </r>
  <r>
    <n v="214"/>
    <x v="11"/>
    <x v="0"/>
    <x v="8"/>
    <x v="3"/>
    <n v="93"/>
    <s v="Nevada"/>
    <x v="0"/>
    <x v="15"/>
    <x v="3"/>
    <x v="14"/>
    <x v="0"/>
    <x v="5"/>
    <x v="0"/>
    <x v="0"/>
    <n v="11"/>
    <x v="5"/>
    <x v="6"/>
  </r>
  <r>
    <n v="215"/>
    <x v="41"/>
    <x v="0"/>
    <x v="14"/>
    <x v="2"/>
    <n v="50"/>
    <s v="Hawaii"/>
    <x v="0"/>
    <x v="24"/>
    <x v="2"/>
    <x v="19"/>
    <x v="0"/>
    <x v="2"/>
    <x v="0"/>
    <x v="0"/>
    <n v="41"/>
    <x v="1"/>
    <x v="6"/>
  </r>
  <r>
    <n v="216"/>
    <x v="46"/>
    <x v="0"/>
    <x v="18"/>
    <x v="3"/>
    <n v="64"/>
    <s v="New Jersey"/>
    <x v="1"/>
    <x v="20"/>
    <x v="1"/>
    <x v="11"/>
    <x v="0"/>
    <x v="4"/>
    <x v="0"/>
    <x v="0"/>
    <n v="24"/>
    <x v="3"/>
    <x v="4"/>
  </r>
  <r>
    <n v="217"/>
    <x v="49"/>
    <x v="0"/>
    <x v="6"/>
    <x v="0"/>
    <n v="61"/>
    <s v="Massachusetts"/>
    <x v="0"/>
    <x v="22"/>
    <x v="1"/>
    <x v="18"/>
    <x v="0"/>
    <x v="1"/>
    <x v="0"/>
    <x v="0"/>
    <n v="21"/>
    <x v="0"/>
    <x v="1"/>
  </r>
  <r>
    <n v="218"/>
    <x v="25"/>
    <x v="0"/>
    <x v="12"/>
    <x v="3"/>
    <n v="48"/>
    <s v="Oklahoma"/>
    <x v="2"/>
    <x v="7"/>
    <x v="0"/>
    <x v="1"/>
    <x v="0"/>
    <x v="2"/>
    <x v="0"/>
    <x v="0"/>
    <n v="24"/>
    <x v="4"/>
    <x v="2"/>
  </r>
  <r>
    <n v="219"/>
    <x v="48"/>
    <x v="0"/>
    <x v="17"/>
    <x v="0"/>
    <n v="45"/>
    <s v="California"/>
    <x v="1"/>
    <x v="23"/>
    <x v="1"/>
    <x v="3"/>
    <x v="0"/>
    <x v="5"/>
    <x v="0"/>
    <x v="0"/>
    <n v="8"/>
    <x v="2"/>
    <x v="3"/>
  </r>
  <r>
    <n v="220"/>
    <x v="45"/>
    <x v="0"/>
    <x v="22"/>
    <x v="3"/>
    <n v="88"/>
    <s v="Nevada"/>
    <x v="2"/>
    <x v="17"/>
    <x v="1"/>
    <x v="21"/>
    <x v="0"/>
    <x v="1"/>
    <x v="0"/>
    <x v="0"/>
    <n v="12"/>
    <x v="1"/>
    <x v="0"/>
  </r>
  <r>
    <n v="221"/>
    <x v="31"/>
    <x v="0"/>
    <x v="4"/>
    <x v="1"/>
    <n v="57"/>
    <s v="Arizona"/>
    <x v="1"/>
    <x v="21"/>
    <x v="1"/>
    <x v="18"/>
    <x v="0"/>
    <x v="0"/>
    <x v="0"/>
    <x v="0"/>
    <n v="48"/>
    <x v="5"/>
    <x v="0"/>
  </r>
  <r>
    <n v="222"/>
    <x v="48"/>
    <x v="0"/>
    <x v="19"/>
    <x v="3"/>
    <n v="68"/>
    <s v="North Carolina"/>
    <x v="3"/>
    <x v="23"/>
    <x v="2"/>
    <x v="14"/>
    <x v="0"/>
    <x v="5"/>
    <x v="0"/>
    <x v="0"/>
    <n v="6"/>
    <x v="4"/>
    <x v="3"/>
  </r>
  <r>
    <n v="223"/>
    <x v="36"/>
    <x v="0"/>
    <x v="24"/>
    <x v="3"/>
    <n v="94"/>
    <s v="New York"/>
    <x v="3"/>
    <x v="0"/>
    <x v="1"/>
    <x v="9"/>
    <x v="0"/>
    <x v="4"/>
    <x v="0"/>
    <x v="0"/>
    <n v="14"/>
    <x v="3"/>
    <x v="0"/>
  </r>
  <r>
    <n v="224"/>
    <x v="30"/>
    <x v="0"/>
    <x v="13"/>
    <x v="0"/>
    <n v="41"/>
    <s v="Wyoming"/>
    <x v="2"/>
    <x v="2"/>
    <x v="1"/>
    <x v="6"/>
    <x v="0"/>
    <x v="1"/>
    <x v="0"/>
    <x v="0"/>
    <n v="34"/>
    <x v="3"/>
    <x v="2"/>
  </r>
  <r>
    <n v="225"/>
    <x v="6"/>
    <x v="0"/>
    <x v="20"/>
    <x v="0"/>
    <n v="83"/>
    <s v="South Dakota"/>
    <x v="1"/>
    <x v="19"/>
    <x v="2"/>
    <x v="3"/>
    <x v="0"/>
    <x v="1"/>
    <x v="0"/>
    <x v="0"/>
    <n v="12"/>
    <x v="1"/>
    <x v="6"/>
  </r>
  <r>
    <n v="226"/>
    <x v="15"/>
    <x v="0"/>
    <x v="14"/>
    <x v="2"/>
    <n v="22"/>
    <s v="Arkansas"/>
    <x v="2"/>
    <x v="8"/>
    <x v="1"/>
    <x v="4"/>
    <x v="0"/>
    <x v="2"/>
    <x v="0"/>
    <x v="0"/>
    <n v="11"/>
    <x v="4"/>
    <x v="2"/>
  </r>
  <r>
    <n v="227"/>
    <x v="26"/>
    <x v="0"/>
    <x v="9"/>
    <x v="1"/>
    <n v="74"/>
    <s v="Texas"/>
    <x v="0"/>
    <x v="10"/>
    <x v="1"/>
    <x v="13"/>
    <x v="0"/>
    <x v="1"/>
    <x v="0"/>
    <x v="0"/>
    <n v="5"/>
    <x v="3"/>
    <x v="5"/>
  </r>
  <r>
    <n v="228"/>
    <x v="2"/>
    <x v="0"/>
    <x v="2"/>
    <x v="0"/>
    <n v="90"/>
    <s v="Rhode Island"/>
    <x v="2"/>
    <x v="2"/>
    <x v="0"/>
    <x v="19"/>
    <x v="0"/>
    <x v="3"/>
    <x v="0"/>
    <x v="0"/>
    <n v="25"/>
    <x v="0"/>
    <x v="0"/>
  </r>
  <r>
    <n v="229"/>
    <x v="20"/>
    <x v="0"/>
    <x v="20"/>
    <x v="0"/>
    <n v="79"/>
    <s v="New Hampshire"/>
    <x v="2"/>
    <x v="3"/>
    <x v="1"/>
    <x v="3"/>
    <x v="0"/>
    <x v="5"/>
    <x v="0"/>
    <x v="0"/>
    <n v="11"/>
    <x v="2"/>
    <x v="2"/>
  </r>
  <r>
    <n v="230"/>
    <x v="27"/>
    <x v="0"/>
    <x v="3"/>
    <x v="1"/>
    <n v="28"/>
    <s v="Ohio"/>
    <x v="1"/>
    <x v="5"/>
    <x v="1"/>
    <x v="12"/>
    <x v="0"/>
    <x v="2"/>
    <x v="0"/>
    <x v="0"/>
    <n v="27"/>
    <x v="3"/>
    <x v="6"/>
  </r>
  <r>
    <n v="231"/>
    <x v="17"/>
    <x v="0"/>
    <x v="18"/>
    <x v="3"/>
    <n v="88"/>
    <s v="Utah"/>
    <x v="0"/>
    <x v="8"/>
    <x v="3"/>
    <x v="7"/>
    <x v="0"/>
    <x v="3"/>
    <x v="0"/>
    <x v="0"/>
    <n v="43"/>
    <x v="2"/>
    <x v="2"/>
  </r>
  <r>
    <n v="232"/>
    <x v="48"/>
    <x v="0"/>
    <x v="0"/>
    <x v="0"/>
    <n v="26"/>
    <s v="Tennessee"/>
    <x v="2"/>
    <x v="24"/>
    <x v="1"/>
    <x v="0"/>
    <x v="0"/>
    <x v="4"/>
    <x v="0"/>
    <x v="0"/>
    <n v="18"/>
    <x v="5"/>
    <x v="6"/>
  </r>
  <r>
    <n v="233"/>
    <x v="22"/>
    <x v="0"/>
    <x v="16"/>
    <x v="3"/>
    <n v="27"/>
    <s v="Hawaii"/>
    <x v="0"/>
    <x v="7"/>
    <x v="0"/>
    <x v="19"/>
    <x v="0"/>
    <x v="0"/>
    <x v="0"/>
    <x v="0"/>
    <n v="32"/>
    <x v="4"/>
    <x v="4"/>
  </r>
  <r>
    <n v="234"/>
    <x v="1"/>
    <x v="0"/>
    <x v="1"/>
    <x v="0"/>
    <n v="83"/>
    <s v="Arizona"/>
    <x v="3"/>
    <x v="22"/>
    <x v="3"/>
    <x v="9"/>
    <x v="0"/>
    <x v="2"/>
    <x v="0"/>
    <x v="0"/>
    <n v="27"/>
    <x v="4"/>
    <x v="6"/>
  </r>
  <r>
    <n v="235"/>
    <x v="30"/>
    <x v="0"/>
    <x v="24"/>
    <x v="3"/>
    <n v="39"/>
    <s v="South Dakota"/>
    <x v="1"/>
    <x v="5"/>
    <x v="2"/>
    <x v="18"/>
    <x v="0"/>
    <x v="2"/>
    <x v="0"/>
    <x v="0"/>
    <n v="24"/>
    <x v="2"/>
    <x v="1"/>
  </r>
  <r>
    <n v="236"/>
    <x v="49"/>
    <x v="0"/>
    <x v="12"/>
    <x v="3"/>
    <n v="89"/>
    <s v="New Jersey"/>
    <x v="2"/>
    <x v="17"/>
    <x v="0"/>
    <x v="18"/>
    <x v="0"/>
    <x v="1"/>
    <x v="0"/>
    <x v="0"/>
    <n v="31"/>
    <x v="5"/>
    <x v="3"/>
  </r>
  <r>
    <n v="237"/>
    <x v="21"/>
    <x v="0"/>
    <x v="7"/>
    <x v="2"/>
    <n v="68"/>
    <s v="North Dakota"/>
    <x v="0"/>
    <x v="14"/>
    <x v="0"/>
    <x v="23"/>
    <x v="0"/>
    <x v="2"/>
    <x v="0"/>
    <x v="0"/>
    <n v="39"/>
    <x v="3"/>
    <x v="0"/>
  </r>
  <r>
    <n v="238"/>
    <x v="2"/>
    <x v="0"/>
    <x v="10"/>
    <x v="0"/>
    <n v="90"/>
    <s v="Iowa"/>
    <x v="2"/>
    <x v="19"/>
    <x v="2"/>
    <x v="21"/>
    <x v="0"/>
    <x v="5"/>
    <x v="0"/>
    <x v="0"/>
    <n v="36"/>
    <x v="5"/>
    <x v="0"/>
  </r>
  <r>
    <n v="239"/>
    <x v="14"/>
    <x v="0"/>
    <x v="11"/>
    <x v="0"/>
    <n v="34"/>
    <s v="Ohio"/>
    <x v="2"/>
    <x v="15"/>
    <x v="3"/>
    <x v="19"/>
    <x v="0"/>
    <x v="1"/>
    <x v="0"/>
    <x v="0"/>
    <n v="5"/>
    <x v="1"/>
    <x v="2"/>
  </r>
  <r>
    <n v="240"/>
    <x v="34"/>
    <x v="0"/>
    <x v="13"/>
    <x v="0"/>
    <n v="51"/>
    <s v="Vermont"/>
    <x v="0"/>
    <x v="22"/>
    <x v="2"/>
    <x v="3"/>
    <x v="0"/>
    <x v="0"/>
    <x v="0"/>
    <x v="0"/>
    <n v="47"/>
    <x v="2"/>
    <x v="4"/>
  </r>
  <r>
    <n v="241"/>
    <x v="36"/>
    <x v="0"/>
    <x v="1"/>
    <x v="0"/>
    <n v="45"/>
    <s v="Montana"/>
    <x v="3"/>
    <x v="2"/>
    <x v="0"/>
    <x v="1"/>
    <x v="0"/>
    <x v="1"/>
    <x v="0"/>
    <x v="0"/>
    <n v="29"/>
    <x v="4"/>
    <x v="0"/>
  </r>
  <r>
    <n v="242"/>
    <x v="24"/>
    <x v="0"/>
    <x v="15"/>
    <x v="0"/>
    <n v="88"/>
    <s v="Delaware"/>
    <x v="2"/>
    <x v="15"/>
    <x v="0"/>
    <x v="7"/>
    <x v="0"/>
    <x v="1"/>
    <x v="0"/>
    <x v="0"/>
    <n v="43"/>
    <x v="0"/>
    <x v="4"/>
  </r>
  <r>
    <n v="243"/>
    <x v="0"/>
    <x v="0"/>
    <x v="7"/>
    <x v="2"/>
    <n v="85"/>
    <s v="New York"/>
    <x v="0"/>
    <x v="0"/>
    <x v="2"/>
    <x v="24"/>
    <x v="0"/>
    <x v="5"/>
    <x v="0"/>
    <x v="0"/>
    <n v="40"/>
    <x v="5"/>
    <x v="6"/>
  </r>
  <r>
    <n v="244"/>
    <x v="15"/>
    <x v="0"/>
    <x v="16"/>
    <x v="3"/>
    <n v="100"/>
    <s v="Kentucky"/>
    <x v="2"/>
    <x v="8"/>
    <x v="0"/>
    <x v="11"/>
    <x v="0"/>
    <x v="4"/>
    <x v="0"/>
    <x v="0"/>
    <n v="4"/>
    <x v="5"/>
    <x v="5"/>
  </r>
  <r>
    <n v="245"/>
    <x v="10"/>
    <x v="0"/>
    <x v="22"/>
    <x v="3"/>
    <n v="42"/>
    <s v="Oregon"/>
    <x v="1"/>
    <x v="21"/>
    <x v="1"/>
    <x v="8"/>
    <x v="0"/>
    <x v="4"/>
    <x v="0"/>
    <x v="0"/>
    <n v="39"/>
    <x v="3"/>
    <x v="1"/>
  </r>
  <r>
    <n v="246"/>
    <x v="34"/>
    <x v="0"/>
    <x v="3"/>
    <x v="1"/>
    <n v="53"/>
    <s v="Rhode Island"/>
    <x v="0"/>
    <x v="4"/>
    <x v="2"/>
    <x v="13"/>
    <x v="0"/>
    <x v="2"/>
    <x v="0"/>
    <x v="0"/>
    <n v="45"/>
    <x v="0"/>
    <x v="0"/>
  </r>
  <r>
    <n v="247"/>
    <x v="25"/>
    <x v="0"/>
    <x v="12"/>
    <x v="3"/>
    <n v="86"/>
    <s v="Nevada"/>
    <x v="3"/>
    <x v="19"/>
    <x v="1"/>
    <x v="4"/>
    <x v="0"/>
    <x v="0"/>
    <x v="0"/>
    <x v="0"/>
    <n v="20"/>
    <x v="0"/>
    <x v="4"/>
  </r>
  <r>
    <n v="248"/>
    <x v="26"/>
    <x v="0"/>
    <x v="1"/>
    <x v="0"/>
    <n v="66"/>
    <s v="Montana"/>
    <x v="3"/>
    <x v="18"/>
    <x v="1"/>
    <x v="14"/>
    <x v="0"/>
    <x v="3"/>
    <x v="0"/>
    <x v="0"/>
    <n v="14"/>
    <x v="5"/>
    <x v="1"/>
  </r>
  <r>
    <n v="249"/>
    <x v="36"/>
    <x v="0"/>
    <x v="22"/>
    <x v="3"/>
    <n v="100"/>
    <s v="Pennsylvania"/>
    <x v="2"/>
    <x v="24"/>
    <x v="0"/>
    <x v="6"/>
    <x v="0"/>
    <x v="0"/>
    <x v="0"/>
    <x v="0"/>
    <n v="33"/>
    <x v="3"/>
    <x v="1"/>
  </r>
  <r>
    <n v="250"/>
    <x v="10"/>
    <x v="0"/>
    <x v="8"/>
    <x v="3"/>
    <n v="47"/>
    <s v="Alaska"/>
    <x v="1"/>
    <x v="11"/>
    <x v="3"/>
    <x v="19"/>
    <x v="0"/>
    <x v="3"/>
    <x v="0"/>
    <x v="0"/>
    <n v="18"/>
    <x v="2"/>
    <x v="2"/>
  </r>
  <r>
    <n v="251"/>
    <x v="23"/>
    <x v="0"/>
    <x v="11"/>
    <x v="0"/>
    <n v="25"/>
    <s v="Mississippi"/>
    <x v="0"/>
    <x v="13"/>
    <x v="3"/>
    <x v="17"/>
    <x v="0"/>
    <x v="0"/>
    <x v="0"/>
    <x v="0"/>
    <n v="9"/>
    <x v="4"/>
    <x v="1"/>
  </r>
  <r>
    <n v="252"/>
    <x v="3"/>
    <x v="0"/>
    <x v="8"/>
    <x v="3"/>
    <n v="51"/>
    <s v="Wyoming"/>
    <x v="3"/>
    <x v="9"/>
    <x v="0"/>
    <x v="25"/>
    <x v="0"/>
    <x v="3"/>
    <x v="0"/>
    <x v="0"/>
    <n v="34"/>
    <x v="3"/>
    <x v="2"/>
  </r>
  <r>
    <n v="253"/>
    <x v="45"/>
    <x v="0"/>
    <x v="6"/>
    <x v="0"/>
    <n v="41"/>
    <s v="Delaware"/>
    <x v="2"/>
    <x v="10"/>
    <x v="2"/>
    <x v="20"/>
    <x v="0"/>
    <x v="1"/>
    <x v="0"/>
    <x v="0"/>
    <n v="33"/>
    <x v="0"/>
    <x v="0"/>
  </r>
  <r>
    <n v="254"/>
    <x v="16"/>
    <x v="0"/>
    <x v="23"/>
    <x v="1"/>
    <n v="73"/>
    <s v="Oklahoma"/>
    <x v="0"/>
    <x v="17"/>
    <x v="0"/>
    <x v="8"/>
    <x v="0"/>
    <x v="4"/>
    <x v="0"/>
    <x v="0"/>
    <n v="15"/>
    <x v="4"/>
    <x v="4"/>
  </r>
  <r>
    <n v="255"/>
    <x v="29"/>
    <x v="0"/>
    <x v="12"/>
    <x v="3"/>
    <n v="42"/>
    <s v="Indiana"/>
    <x v="2"/>
    <x v="3"/>
    <x v="0"/>
    <x v="1"/>
    <x v="0"/>
    <x v="5"/>
    <x v="0"/>
    <x v="0"/>
    <n v="4"/>
    <x v="3"/>
    <x v="4"/>
  </r>
  <r>
    <n v="256"/>
    <x v="49"/>
    <x v="0"/>
    <x v="18"/>
    <x v="3"/>
    <n v="20"/>
    <s v="Maryland"/>
    <x v="2"/>
    <x v="4"/>
    <x v="1"/>
    <x v="19"/>
    <x v="0"/>
    <x v="1"/>
    <x v="0"/>
    <x v="0"/>
    <n v="25"/>
    <x v="5"/>
    <x v="2"/>
  </r>
  <r>
    <n v="257"/>
    <x v="44"/>
    <x v="0"/>
    <x v="16"/>
    <x v="3"/>
    <n v="30"/>
    <s v="South Dakota"/>
    <x v="3"/>
    <x v="10"/>
    <x v="1"/>
    <x v="10"/>
    <x v="0"/>
    <x v="0"/>
    <x v="0"/>
    <x v="0"/>
    <n v="20"/>
    <x v="2"/>
    <x v="6"/>
  </r>
  <r>
    <n v="258"/>
    <x v="30"/>
    <x v="0"/>
    <x v="8"/>
    <x v="3"/>
    <n v="53"/>
    <s v="West Virginia"/>
    <x v="2"/>
    <x v="16"/>
    <x v="2"/>
    <x v="9"/>
    <x v="0"/>
    <x v="0"/>
    <x v="0"/>
    <x v="0"/>
    <n v="5"/>
    <x v="2"/>
    <x v="3"/>
  </r>
  <r>
    <n v="259"/>
    <x v="12"/>
    <x v="0"/>
    <x v="24"/>
    <x v="3"/>
    <n v="74"/>
    <s v="Alabama"/>
    <x v="1"/>
    <x v="12"/>
    <x v="1"/>
    <x v="11"/>
    <x v="0"/>
    <x v="0"/>
    <x v="0"/>
    <x v="0"/>
    <n v="16"/>
    <x v="1"/>
    <x v="3"/>
  </r>
  <r>
    <n v="260"/>
    <x v="45"/>
    <x v="0"/>
    <x v="2"/>
    <x v="0"/>
    <n v="57"/>
    <s v="Louisiana"/>
    <x v="2"/>
    <x v="9"/>
    <x v="3"/>
    <x v="3"/>
    <x v="0"/>
    <x v="3"/>
    <x v="0"/>
    <x v="0"/>
    <n v="13"/>
    <x v="5"/>
    <x v="2"/>
  </r>
  <r>
    <n v="261"/>
    <x v="21"/>
    <x v="0"/>
    <x v="19"/>
    <x v="3"/>
    <n v="57"/>
    <s v="Montana"/>
    <x v="1"/>
    <x v="16"/>
    <x v="0"/>
    <x v="4"/>
    <x v="0"/>
    <x v="4"/>
    <x v="0"/>
    <x v="0"/>
    <n v="11"/>
    <x v="2"/>
    <x v="6"/>
  </r>
  <r>
    <n v="262"/>
    <x v="3"/>
    <x v="0"/>
    <x v="2"/>
    <x v="0"/>
    <n v="77"/>
    <s v="California"/>
    <x v="0"/>
    <x v="23"/>
    <x v="0"/>
    <x v="8"/>
    <x v="0"/>
    <x v="3"/>
    <x v="0"/>
    <x v="0"/>
    <n v="21"/>
    <x v="2"/>
    <x v="2"/>
  </r>
  <r>
    <n v="263"/>
    <x v="43"/>
    <x v="0"/>
    <x v="13"/>
    <x v="0"/>
    <n v="40"/>
    <s v="Hawaii"/>
    <x v="2"/>
    <x v="11"/>
    <x v="2"/>
    <x v="18"/>
    <x v="0"/>
    <x v="2"/>
    <x v="0"/>
    <x v="0"/>
    <n v="6"/>
    <x v="5"/>
    <x v="2"/>
  </r>
  <r>
    <n v="264"/>
    <x v="7"/>
    <x v="0"/>
    <x v="6"/>
    <x v="0"/>
    <n v="46"/>
    <s v="Iowa"/>
    <x v="2"/>
    <x v="7"/>
    <x v="2"/>
    <x v="24"/>
    <x v="0"/>
    <x v="5"/>
    <x v="0"/>
    <x v="0"/>
    <n v="29"/>
    <x v="0"/>
    <x v="5"/>
  </r>
  <r>
    <n v="265"/>
    <x v="24"/>
    <x v="0"/>
    <x v="13"/>
    <x v="0"/>
    <n v="78"/>
    <s v="Colorado"/>
    <x v="1"/>
    <x v="4"/>
    <x v="3"/>
    <x v="20"/>
    <x v="0"/>
    <x v="5"/>
    <x v="0"/>
    <x v="0"/>
    <n v="15"/>
    <x v="1"/>
    <x v="2"/>
  </r>
  <r>
    <n v="266"/>
    <x v="45"/>
    <x v="0"/>
    <x v="21"/>
    <x v="3"/>
    <n v="59"/>
    <s v="Michigan"/>
    <x v="2"/>
    <x v="0"/>
    <x v="1"/>
    <x v="4"/>
    <x v="0"/>
    <x v="4"/>
    <x v="0"/>
    <x v="0"/>
    <n v="17"/>
    <x v="4"/>
    <x v="4"/>
  </r>
  <r>
    <n v="267"/>
    <x v="47"/>
    <x v="0"/>
    <x v="16"/>
    <x v="3"/>
    <n v="75"/>
    <s v="Louisiana"/>
    <x v="0"/>
    <x v="3"/>
    <x v="2"/>
    <x v="0"/>
    <x v="0"/>
    <x v="0"/>
    <x v="0"/>
    <x v="0"/>
    <n v="32"/>
    <x v="2"/>
    <x v="1"/>
  </r>
  <r>
    <n v="268"/>
    <x v="14"/>
    <x v="0"/>
    <x v="1"/>
    <x v="0"/>
    <n v="54"/>
    <s v="Maryland"/>
    <x v="2"/>
    <x v="8"/>
    <x v="1"/>
    <x v="20"/>
    <x v="0"/>
    <x v="4"/>
    <x v="0"/>
    <x v="0"/>
    <n v="42"/>
    <x v="0"/>
    <x v="2"/>
  </r>
  <r>
    <n v="269"/>
    <x v="33"/>
    <x v="0"/>
    <x v="9"/>
    <x v="1"/>
    <n v="42"/>
    <s v="Georgia"/>
    <x v="2"/>
    <x v="4"/>
    <x v="1"/>
    <x v="5"/>
    <x v="0"/>
    <x v="5"/>
    <x v="0"/>
    <x v="0"/>
    <n v="21"/>
    <x v="1"/>
    <x v="5"/>
  </r>
  <r>
    <n v="270"/>
    <x v="33"/>
    <x v="0"/>
    <x v="0"/>
    <x v="0"/>
    <n v="44"/>
    <s v="Georgia"/>
    <x v="2"/>
    <x v="4"/>
    <x v="0"/>
    <x v="13"/>
    <x v="0"/>
    <x v="2"/>
    <x v="0"/>
    <x v="0"/>
    <n v="9"/>
    <x v="1"/>
    <x v="4"/>
  </r>
  <r>
    <n v="271"/>
    <x v="23"/>
    <x v="0"/>
    <x v="2"/>
    <x v="0"/>
    <n v="52"/>
    <s v="North Dakota"/>
    <x v="3"/>
    <x v="20"/>
    <x v="3"/>
    <x v="12"/>
    <x v="0"/>
    <x v="1"/>
    <x v="0"/>
    <x v="0"/>
    <n v="16"/>
    <x v="4"/>
    <x v="2"/>
  </r>
  <r>
    <n v="272"/>
    <x v="13"/>
    <x v="0"/>
    <x v="12"/>
    <x v="3"/>
    <n v="69"/>
    <s v="Maryland"/>
    <x v="3"/>
    <x v="22"/>
    <x v="2"/>
    <x v="12"/>
    <x v="0"/>
    <x v="0"/>
    <x v="0"/>
    <x v="0"/>
    <n v="42"/>
    <x v="2"/>
    <x v="0"/>
  </r>
  <r>
    <n v="273"/>
    <x v="39"/>
    <x v="0"/>
    <x v="16"/>
    <x v="3"/>
    <n v="26"/>
    <s v="Oregon"/>
    <x v="2"/>
    <x v="19"/>
    <x v="2"/>
    <x v="14"/>
    <x v="0"/>
    <x v="4"/>
    <x v="0"/>
    <x v="0"/>
    <n v="37"/>
    <x v="5"/>
    <x v="4"/>
  </r>
  <r>
    <n v="274"/>
    <x v="28"/>
    <x v="0"/>
    <x v="7"/>
    <x v="2"/>
    <n v="33"/>
    <s v="North Dakota"/>
    <x v="1"/>
    <x v="5"/>
    <x v="1"/>
    <x v="19"/>
    <x v="0"/>
    <x v="0"/>
    <x v="0"/>
    <x v="0"/>
    <n v="32"/>
    <x v="5"/>
    <x v="3"/>
  </r>
  <r>
    <n v="275"/>
    <x v="35"/>
    <x v="0"/>
    <x v="16"/>
    <x v="3"/>
    <n v="32"/>
    <s v="Maryland"/>
    <x v="2"/>
    <x v="21"/>
    <x v="1"/>
    <x v="21"/>
    <x v="0"/>
    <x v="0"/>
    <x v="0"/>
    <x v="0"/>
    <n v="28"/>
    <x v="1"/>
    <x v="4"/>
  </r>
  <r>
    <n v="276"/>
    <x v="39"/>
    <x v="0"/>
    <x v="21"/>
    <x v="3"/>
    <n v="85"/>
    <s v="Virginia"/>
    <x v="3"/>
    <x v="12"/>
    <x v="0"/>
    <x v="17"/>
    <x v="0"/>
    <x v="0"/>
    <x v="0"/>
    <x v="0"/>
    <n v="13"/>
    <x v="2"/>
    <x v="1"/>
  </r>
  <r>
    <n v="277"/>
    <x v="15"/>
    <x v="0"/>
    <x v="11"/>
    <x v="0"/>
    <n v="30"/>
    <s v="South Dakota"/>
    <x v="3"/>
    <x v="2"/>
    <x v="3"/>
    <x v="1"/>
    <x v="0"/>
    <x v="0"/>
    <x v="0"/>
    <x v="0"/>
    <n v="11"/>
    <x v="4"/>
    <x v="0"/>
  </r>
  <r>
    <n v="278"/>
    <x v="26"/>
    <x v="0"/>
    <x v="5"/>
    <x v="0"/>
    <n v="29"/>
    <s v="Georgia"/>
    <x v="2"/>
    <x v="14"/>
    <x v="0"/>
    <x v="21"/>
    <x v="0"/>
    <x v="5"/>
    <x v="0"/>
    <x v="0"/>
    <n v="36"/>
    <x v="4"/>
    <x v="4"/>
  </r>
  <r>
    <n v="279"/>
    <x v="9"/>
    <x v="0"/>
    <x v="1"/>
    <x v="0"/>
    <n v="95"/>
    <s v="Hawaii"/>
    <x v="2"/>
    <x v="20"/>
    <x v="1"/>
    <x v="18"/>
    <x v="0"/>
    <x v="0"/>
    <x v="0"/>
    <x v="0"/>
    <n v="23"/>
    <x v="5"/>
    <x v="2"/>
  </r>
  <r>
    <n v="280"/>
    <x v="51"/>
    <x v="0"/>
    <x v="4"/>
    <x v="1"/>
    <n v="69"/>
    <s v="Arkansas"/>
    <x v="0"/>
    <x v="2"/>
    <x v="2"/>
    <x v="17"/>
    <x v="0"/>
    <x v="3"/>
    <x v="0"/>
    <x v="0"/>
    <n v="37"/>
    <x v="4"/>
    <x v="5"/>
  </r>
  <r>
    <n v="281"/>
    <x v="4"/>
    <x v="0"/>
    <x v="3"/>
    <x v="1"/>
    <n v="69"/>
    <s v="Montana"/>
    <x v="1"/>
    <x v="17"/>
    <x v="3"/>
    <x v="19"/>
    <x v="0"/>
    <x v="4"/>
    <x v="0"/>
    <x v="0"/>
    <n v="21"/>
    <x v="1"/>
    <x v="4"/>
  </r>
  <r>
    <n v="282"/>
    <x v="21"/>
    <x v="0"/>
    <x v="22"/>
    <x v="3"/>
    <n v="61"/>
    <s v="Oklahoma"/>
    <x v="3"/>
    <x v="4"/>
    <x v="1"/>
    <x v="25"/>
    <x v="0"/>
    <x v="3"/>
    <x v="0"/>
    <x v="0"/>
    <n v="22"/>
    <x v="5"/>
    <x v="4"/>
  </r>
  <r>
    <n v="283"/>
    <x v="3"/>
    <x v="0"/>
    <x v="11"/>
    <x v="0"/>
    <n v="94"/>
    <s v="Minnesota"/>
    <x v="2"/>
    <x v="11"/>
    <x v="2"/>
    <x v="21"/>
    <x v="0"/>
    <x v="4"/>
    <x v="0"/>
    <x v="0"/>
    <n v="9"/>
    <x v="1"/>
    <x v="5"/>
  </r>
  <r>
    <n v="284"/>
    <x v="45"/>
    <x v="0"/>
    <x v="1"/>
    <x v="0"/>
    <n v="30"/>
    <s v="Montana"/>
    <x v="1"/>
    <x v="1"/>
    <x v="3"/>
    <x v="4"/>
    <x v="0"/>
    <x v="2"/>
    <x v="0"/>
    <x v="0"/>
    <n v="16"/>
    <x v="0"/>
    <x v="2"/>
  </r>
  <r>
    <n v="285"/>
    <x v="6"/>
    <x v="0"/>
    <x v="11"/>
    <x v="0"/>
    <n v="45"/>
    <s v="Ohio"/>
    <x v="2"/>
    <x v="16"/>
    <x v="2"/>
    <x v="1"/>
    <x v="0"/>
    <x v="3"/>
    <x v="0"/>
    <x v="0"/>
    <n v="4"/>
    <x v="3"/>
    <x v="3"/>
  </r>
  <r>
    <n v="286"/>
    <x v="26"/>
    <x v="0"/>
    <x v="8"/>
    <x v="3"/>
    <n v="39"/>
    <s v="Kentucky"/>
    <x v="3"/>
    <x v="22"/>
    <x v="2"/>
    <x v="6"/>
    <x v="0"/>
    <x v="0"/>
    <x v="0"/>
    <x v="0"/>
    <n v="3"/>
    <x v="5"/>
    <x v="4"/>
  </r>
  <r>
    <n v="287"/>
    <x v="7"/>
    <x v="0"/>
    <x v="16"/>
    <x v="3"/>
    <n v="51"/>
    <s v="Nebraska"/>
    <x v="0"/>
    <x v="0"/>
    <x v="2"/>
    <x v="5"/>
    <x v="0"/>
    <x v="5"/>
    <x v="0"/>
    <x v="0"/>
    <n v="6"/>
    <x v="5"/>
    <x v="2"/>
  </r>
  <r>
    <n v="288"/>
    <x v="19"/>
    <x v="0"/>
    <x v="18"/>
    <x v="3"/>
    <n v="37"/>
    <s v="Delaware"/>
    <x v="0"/>
    <x v="24"/>
    <x v="1"/>
    <x v="23"/>
    <x v="0"/>
    <x v="4"/>
    <x v="0"/>
    <x v="0"/>
    <n v="18"/>
    <x v="0"/>
    <x v="0"/>
  </r>
  <r>
    <n v="289"/>
    <x v="11"/>
    <x v="0"/>
    <x v="17"/>
    <x v="0"/>
    <n v="62"/>
    <s v="North Carolina"/>
    <x v="2"/>
    <x v="12"/>
    <x v="0"/>
    <x v="18"/>
    <x v="0"/>
    <x v="4"/>
    <x v="0"/>
    <x v="0"/>
    <n v="34"/>
    <x v="0"/>
    <x v="4"/>
  </r>
  <r>
    <n v="290"/>
    <x v="34"/>
    <x v="0"/>
    <x v="7"/>
    <x v="2"/>
    <n v="85"/>
    <s v="New York"/>
    <x v="2"/>
    <x v="22"/>
    <x v="3"/>
    <x v="9"/>
    <x v="0"/>
    <x v="4"/>
    <x v="0"/>
    <x v="0"/>
    <n v="26"/>
    <x v="2"/>
    <x v="5"/>
  </r>
  <r>
    <n v="291"/>
    <x v="44"/>
    <x v="0"/>
    <x v="17"/>
    <x v="0"/>
    <n v="33"/>
    <s v="Colorado"/>
    <x v="2"/>
    <x v="21"/>
    <x v="0"/>
    <x v="18"/>
    <x v="0"/>
    <x v="3"/>
    <x v="0"/>
    <x v="0"/>
    <n v="50"/>
    <x v="3"/>
    <x v="1"/>
  </r>
  <r>
    <n v="292"/>
    <x v="9"/>
    <x v="0"/>
    <x v="10"/>
    <x v="0"/>
    <n v="26"/>
    <s v="Delaware"/>
    <x v="3"/>
    <x v="10"/>
    <x v="3"/>
    <x v="13"/>
    <x v="0"/>
    <x v="2"/>
    <x v="0"/>
    <x v="0"/>
    <n v="40"/>
    <x v="4"/>
    <x v="5"/>
  </r>
  <r>
    <n v="293"/>
    <x v="52"/>
    <x v="0"/>
    <x v="9"/>
    <x v="1"/>
    <n v="99"/>
    <s v="Utah"/>
    <x v="2"/>
    <x v="14"/>
    <x v="1"/>
    <x v="10"/>
    <x v="0"/>
    <x v="1"/>
    <x v="0"/>
    <x v="0"/>
    <n v="24"/>
    <x v="1"/>
    <x v="3"/>
  </r>
  <r>
    <n v="294"/>
    <x v="28"/>
    <x v="0"/>
    <x v="8"/>
    <x v="3"/>
    <n v="39"/>
    <s v="Connecticut"/>
    <x v="2"/>
    <x v="3"/>
    <x v="1"/>
    <x v="2"/>
    <x v="0"/>
    <x v="0"/>
    <x v="0"/>
    <x v="0"/>
    <n v="33"/>
    <x v="3"/>
    <x v="2"/>
  </r>
  <r>
    <n v="295"/>
    <x v="27"/>
    <x v="0"/>
    <x v="11"/>
    <x v="0"/>
    <n v="20"/>
    <s v="New Jersey"/>
    <x v="2"/>
    <x v="9"/>
    <x v="1"/>
    <x v="12"/>
    <x v="0"/>
    <x v="5"/>
    <x v="0"/>
    <x v="0"/>
    <n v="19"/>
    <x v="2"/>
    <x v="6"/>
  </r>
  <r>
    <n v="296"/>
    <x v="10"/>
    <x v="0"/>
    <x v="12"/>
    <x v="3"/>
    <n v="42"/>
    <s v="West Virginia"/>
    <x v="2"/>
    <x v="21"/>
    <x v="0"/>
    <x v="2"/>
    <x v="0"/>
    <x v="5"/>
    <x v="0"/>
    <x v="0"/>
    <n v="24"/>
    <x v="2"/>
    <x v="3"/>
  </r>
  <r>
    <n v="297"/>
    <x v="15"/>
    <x v="0"/>
    <x v="3"/>
    <x v="1"/>
    <n v="74"/>
    <s v="Indiana"/>
    <x v="1"/>
    <x v="12"/>
    <x v="1"/>
    <x v="6"/>
    <x v="0"/>
    <x v="4"/>
    <x v="0"/>
    <x v="0"/>
    <n v="19"/>
    <x v="2"/>
    <x v="1"/>
  </r>
  <r>
    <n v="298"/>
    <x v="39"/>
    <x v="0"/>
    <x v="9"/>
    <x v="1"/>
    <n v="26"/>
    <s v="Delaware"/>
    <x v="3"/>
    <x v="7"/>
    <x v="2"/>
    <x v="14"/>
    <x v="0"/>
    <x v="3"/>
    <x v="0"/>
    <x v="0"/>
    <n v="4"/>
    <x v="2"/>
    <x v="4"/>
  </r>
  <r>
    <n v="299"/>
    <x v="28"/>
    <x v="0"/>
    <x v="17"/>
    <x v="0"/>
    <n v="53"/>
    <s v="Maryland"/>
    <x v="2"/>
    <x v="12"/>
    <x v="0"/>
    <x v="17"/>
    <x v="0"/>
    <x v="3"/>
    <x v="0"/>
    <x v="0"/>
    <n v="11"/>
    <x v="0"/>
    <x v="6"/>
  </r>
  <r>
    <n v="300"/>
    <x v="15"/>
    <x v="0"/>
    <x v="4"/>
    <x v="1"/>
    <n v="80"/>
    <s v="Pennsylvania"/>
    <x v="2"/>
    <x v="1"/>
    <x v="2"/>
    <x v="4"/>
    <x v="0"/>
    <x v="2"/>
    <x v="0"/>
    <x v="0"/>
    <n v="28"/>
    <x v="3"/>
    <x v="0"/>
  </r>
  <r>
    <n v="301"/>
    <x v="26"/>
    <x v="0"/>
    <x v="19"/>
    <x v="3"/>
    <n v="98"/>
    <s v="Iowa"/>
    <x v="2"/>
    <x v="11"/>
    <x v="1"/>
    <x v="14"/>
    <x v="0"/>
    <x v="5"/>
    <x v="0"/>
    <x v="0"/>
    <n v="24"/>
    <x v="3"/>
    <x v="1"/>
  </r>
  <r>
    <n v="302"/>
    <x v="5"/>
    <x v="0"/>
    <x v="11"/>
    <x v="0"/>
    <n v="95"/>
    <s v="Pennsylvania"/>
    <x v="2"/>
    <x v="14"/>
    <x v="1"/>
    <x v="22"/>
    <x v="0"/>
    <x v="3"/>
    <x v="0"/>
    <x v="0"/>
    <n v="25"/>
    <x v="2"/>
    <x v="6"/>
  </r>
  <r>
    <n v="303"/>
    <x v="43"/>
    <x v="0"/>
    <x v="1"/>
    <x v="0"/>
    <n v="44"/>
    <s v="Delaware"/>
    <x v="0"/>
    <x v="8"/>
    <x v="2"/>
    <x v="15"/>
    <x v="0"/>
    <x v="0"/>
    <x v="0"/>
    <x v="0"/>
    <n v="27"/>
    <x v="4"/>
    <x v="6"/>
  </r>
  <r>
    <n v="304"/>
    <x v="30"/>
    <x v="0"/>
    <x v="3"/>
    <x v="1"/>
    <n v="60"/>
    <s v="Oregon"/>
    <x v="2"/>
    <x v="2"/>
    <x v="2"/>
    <x v="13"/>
    <x v="0"/>
    <x v="2"/>
    <x v="0"/>
    <x v="0"/>
    <n v="49"/>
    <x v="0"/>
    <x v="1"/>
  </r>
  <r>
    <n v="305"/>
    <x v="37"/>
    <x v="0"/>
    <x v="10"/>
    <x v="0"/>
    <n v="84"/>
    <s v="Oregon"/>
    <x v="2"/>
    <x v="14"/>
    <x v="0"/>
    <x v="23"/>
    <x v="0"/>
    <x v="2"/>
    <x v="0"/>
    <x v="0"/>
    <n v="45"/>
    <x v="2"/>
    <x v="4"/>
  </r>
  <r>
    <n v="306"/>
    <x v="52"/>
    <x v="0"/>
    <x v="1"/>
    <x v="0"/>
    <n v="59"/>
    <s v="Utah"/>
    <x v="2"/>
    <x v="11"/>
    <x v="3"/>
    <x v="1"/>
    <x v="0"/>
    <x v="4"/>
    <x v="0"/>
    <x v="0"/>
    <n v="26"/>
    <x v="3"/>
    <x v="2"/>
  </r>
  <r>
    <n v="307"/>
    <x v="8"/>
    <x v="0"/>
    <x v="14"/>
    <x v="2"/>
    <n v="49"/>
    <s v="North Dakota"/>
    <x v="1"/>
    <x v="3"/>
    <x v="2"/>
    <x v="15"/>
    <x v="0"/>
    <x v="0"/>
    <x v="0"/>
    <x v="0"/>
    <n v="4"/>
    <x v="1"/>
    <x v="2"/>
  </r>
  <r>
    <n v="308"/>
    <x v="26"/>
    <x v="0"/>
    <x v="24"/>
    <x v="3"/>
    <n v="32"/>
    <s v="Florida"/>
    <x v="2"/>
    <x v="20"/>
    <x v="0"/>
    <x v="4"/>
    <x v="0"/>
    <x v="1"/>
    <x v="0"/>
    <x v="0"/>
    <n v="3"/>
    <x v="2"/>
    <x v="6"/>
  </r>
  <r>
    <n v="309"/>
    <x v="17"/>
    <x v="0"/>
    <x v="8"/>
    <x v="3"/>
    <n v="29"/>
    <s v="Maryland"/>
    <x v="2"/>
    <x v="19"/>
    <x v="3"/>
    <x v="18"/>
    <x v="0"/>
    <x v="3"/>
    <x v="0"/>
    <x v="0"/>
    <n v="45"/>
    <x v="0"/>
    <x v="4"/>
  </r>
  <r>
    <n v="310"/>
    <x v="17"/>
    <x v="0"/>
    <x v="10"/>
    <x v="0"/>
    <n v="22"/>
    <s v="Minnesota"/>
    <x v="2"/>
    <x v="22"/>
    <x v="1"/>
    <x v="9"/>
    <x v="0"/>
    <x v="3"/>
    <x v="0"/>
    <x v="0"/>
    <n v="21"/>
    <x v="1"/>
    <x v="0"/>
  </r>
  <r>
    <n v="311"/>
    <x v="19"/>
    <x v="0"/>
    <x v="13"/>
    <x v="0"/>
    <n v="85"/>
    <s v="Montana"/>
    <x v="2"/>
    <x v="4"/>
    <x v="0"/>
    <x v="12"/>
    <x v="0"/>
    <x v="3"/>
    <x v="0"/>
    <x v="0"/>
    <n v="50"/>
    <x v="1"/>
    <x v="0"/>
  </r>
  <r>
    <n v="312"/>
    <x v="28"/>
    <x v="0"/>
    <x v="2"/>
    <x v="0"/>
    <n v="52"/>
    <s v="Rhode Island"/>
    <x v="0"/>
    <x v="5"/>
    <x v="0"/>
    <x v="7"/>
    <x v="0"/>
    <x v="5"/>
    <x v="0"/>
    <x v="0"/>
    <n v="19"/>
    <x v="4"/>
    <x v="5"/>
  </r>
  <r>
    <n v="313"/>
    <x v="21"/>
    <x v="0"/>
    <x v="13"/>
    <x v="0"/>
    <n v="89"/>
    <s v="Massachusetts"/>
    <x v="0"/>
    <x v="14"/>
    <x v="1"/>
    <x v="23"/>
    <x v="0"/>
    <x v="2"/>
    <x v="0"/>
    <x v="0"/>
    <n v="6"/>
    <x v="3"/>
    <x v="2"/>
  </r>
  <r>
    <n v="314"/>
    <x v="32"/>
    <x v="0"/>
    <x v="10"/>
    <x v="0"/>
    <n v="77"/>
    <s v="Vermont"/>
    <x v="2"/>
    <x v="6"/>
    <x v="1"/>
    <x v="18"/>
    <x v="0"/>
    <x v="0"/>
    <x v="0"/>
    <x v="0"/>
    <n v="50"/>
    <x v="2"/>
    <x v="6"/>
  </r>
  <r>
    <n v="315"/>
    <x v="11"/>
    <x v="0"/>
    <x v="13"/>
    <x v="0"/>
    <n v="24"/>
    <s v="New Jersey"/>
    <x v="2"/>
    <x v="7"/>
    <x v="2"/>
    <x v="13"/>
    <x v="0"/>
    <x v="5"/>
    <x v="0"/>
    <x v="0"/>
    <n v="17"/>
    <x v="5"/>
    <x v="6"/>
  </r>
  <r>
    <n v="316"/>
    <x v="17"/>
    <x v="0"/>
    <x v="16"/>
    <x v="3"/>
    <n v="24"/>
    <s v="Wisconsin"/>
    <x v="3"/>
    <x v="20"/>
    <x v="1"/>
    <x v="9"/>
    <x v="0"/>
    <x v="0"/>
    <x v="0"/>
    <x v="0"/>
    <n v="24"/>
    <x v="5"/>
    <x v="2"/>
  </r>
  <r>
    <n v="317"/>
    <x v="24"/>
    <x v="0"/>
    <x v="8"/>
    <x v="3"/>
    <n v="22"/>
    <s v="California"/>
    <x v="2"/>
    <x v="4"/>
    <x v="3"/>
    <x v="13"/>
    <x v="0"/>
    <x v="1"/>
    <x v="0"/>
    <x v="0"/>
    <n v="46"/>
    <x v="0"/>
    <x v="5"/>
  </r>
  <r>
    <n v="318"/>
    <x v="44"/>
    <x v="0"/>
    <x v="1"/>
    <x v="0"/>
    <n v="82"/>
    <s v="West Virginia"/>
    <x v="0"/>
    <x v="11"/>
    <x v="3"/>
    <x v="24"/>
    <x v="0"/>
    <x v="3"/>
    <x v="0"/>
    <x v="0"/>
    <n v="42"/>
    <x v="1"/>
    <x v="6"/>
  </r>
  <r>
    <n v="319"/>
    <x v="4"/>
    <x v="0"/>
    <x v="21"/>
    <x v="3"/>
    <n v="67"/>
    <s v="South Dakota"/>
    <x v="2"/>
    <x v="19"/>
    <x v="0"/>
    <x v="25"/>
    <x v="0"/>
    <x v="3"/>
    <x v="0"/>
    <x v="0"/>
    <n v="10"/>
    <x v="1"/>
    <x v="2"/>
  </r>
  <r>
    <n v="320"/>
    <x v="36"/>
    <x v="0"/>
    <x v="6"/>
    <x v="0"/>
    <n v="74"/>
    <s v="Maine"/>
    <x v="3"/>
    <x v="3"/>
    <x v="1"/>
    <x v="5"/>
    <x v="0"/>
    <x v="3"/>
    <x v="0"/>
    <x v="0"/>
    <n v="1"/>
    <x v="1"/>
    <x v="6"/>
  </r>
  <r>
    <n v="321"/>
    <x v="17"/>
    <x v="0"/>
    <x v="16"/>
    <x v="3"/>
    <n v="72"/>
    <s v="Kansas"/>
    <x v="0"/>
    <x v="3"/>
    <x v="2"/>
    <x v="8"/>
    <x v="0"/>
    <x v="3"/>
    <x v="0"/>
    <x v="0"/>
    <n v="28"/>
    <x v="5"/>
    <x v="3"/>
  </r>
  <r>
    <n v="322"/>
    <x v="38"/>
    <x v="0"/>
    <x v="4"/>
    <x v="1"/>
    <n v="36"/>
    <s v="Vermont"/>
    <x v="0"/>
    <x v="20"/>
    <x v="2"/>
    <x v="10"/>
    <x v="0"/>
    <x v="1"/>
    <x v="0"/>
    <x v="0"/>
    <n v="48"/>
    <x v="5"/>
    <x v="3"/>
  </r>
  <r>
    <n v="323"/>
    <x v="38"/>
    <x v="0"/>
    <x v="22"/>
    <x v="3"/>
    <n v="95"/>
    <s v="Tennessee"/>
    <x v="1"/>
    <x v="17"/>
    <x v="0"/>
    <x v="21"/>
    <x v="0"/>
    <x v="3"/>
    <x v="0"/>
    <x v="0"/>
    <n v="47"/>
    <x v="2"/>
    <x v="5"/>
  </r>
  <r>
    <n v="324"/>
    <x v="17"/>
    <x v="0"/>
    <x v="15"/>
    <x v="0"/>
    <n v="78"/>
    <s v="Tennessee"/>
    <x v="2"/>
    <x v="20"/>
    <x v="0"/>
    <x v="1"/>
    <x v="0"/>
    <x v="2"/>
    <x v="0"/>
    <x v="0"/>
    <n v="29"/>
    <x v="3"/>
    <x v="4"/>
  </r>
  <r>
    <n v="325"/>
    <x v="43"/>
    <x v="0"/>
    <x v="5"/>
    <x v="0"/>
    <n v="82"/>
    <s v="Wyoming"/>
    <x v="2"/>
    <x v="8"/>
    <x v="2"/>
    <x v="6"/>
    <x v="0"/>
    <x v="3"/>
    <x v="0"/>
    <x v="0"/>
    <n v="37"/>
    <x v="0"/>
    <x v="3"/>
  </r>
  <r>
    <n v="326"/>
    <x v="27"/>
    <x v="0"/>
    <x v="13"/>
    <x v="0"/>
    <n v="70"/>
    <s v="Vermont"/>
    <x v="2"/>
    <x v="4"/>
    <x v="0"/>
    <x v="24"/>
    <x v="0"/>
    <x v="1"/>
    <x v="0"/>
    <x v="0"/>
    <n v="38"/>
    <x v="5"/>
    <x v="2"/>
  </r>
  <r>
    <n v="327"/>
    <x v="46"/>
    <x v="0"/>
    <x v="18"/>
    <x v="3"/>
    <n v="41"/>
    <s v="New Jersey"/>
    <x v="2"/>
    <x v="3"/>
    <x v="3"/>
    <x v="4"/>
    <x v="0"/>
    <x v="5"/>
    <x v="0"/>
    <x v="0"/>
    <n v="48"/>
    <x v="4"/>
    <x v="1"/>
  </r>
  <r>
    <n v="328"/>
    <x v="12"/>
    <x v="0"/>
    <x v="7"/>
    <x v="2"/>
    <n v="42"/>
    <s v="Iowa"/>
    <x v="2"/>
    <x v="11"/>
    <x v="2"/>
    <x v="0"/>
    <x v="0"/>
    <x v="1"/>
    <x v="0"/>
    <x v="0"/>
    <n v="36"/>
    <x v="3"/>
    <x v="1"/>
  </r>
  <r>
    <n v="329"/>
    <x v="39"/>
    <x v="0"/>
    <x v="7"/>
    <x v="2"/>
    <n v="50"/>
    <s v="Florida"/>
    <x v="2"/>
    <x v="22"/>
    <x v="3"/>
    <x v="11"/>
    <x v="0"/>
    <x v="1"/>
    <x v="0"/>
    <x v="0"/>
    <n v="9"/>
    <x v="2"/>
    <x v="1"/>
  </r>
  <r>
    <n v="330"/>
    <x v="27"/>
    <x v="0"/>
    <x v="20"/>
    <x v="0"/>
    <n v="31"/>
    <s v="Nevada"/>
    <x v="1"/>
    <x v="3"/>
    <x v="2"/>
    <x v="3"/>
    <x v="0"/>
    <x v="4"/>
    <x v="0"/>
    <x v="0"/>
    <n v="34"/>
    <x v="4"/>
    <x v="5"/>
  </r>
  <r>
    <n v="331"/>
    <x v="5"/>
    <x v="0"/>
    <x v="1"/>
    <x v="0"/>
    <n v="51"/>
    <s v="North Dakota"/>
    <x v="2"/>
    <x v="19"/>
    <x v="0"/>
    <x v="18"/>
    <x v="0"/>
    <x v="0"/>
    <x v="0"/>
    <x v="0"/>
    <n v="43"/>
    <x v="0"/>
    <x v="4"/>
  </r>
  <r>
    <n v="332"/>
    <x v="18"/>
    <x v="0"/>
    <x v="5"/>
    <x v="0"/>
    <n v="98"/>
    <s v="Florida"/>
    <x v="0"/>
    <x v="19"/>
    <x v="3"/>
    <x v="13"/>
    <x v="0"/>
    <x v="5"/>
    <x v="0"/>
    <x v="0"/>
    <n v="46"/>
    <x v="3"/>
    <x v="3"/>
  </r>
  <r>
    <n v="333"/>
    <x v="1"/>
    <x v="0"/>
    <x v="5"/>
    <x v="0"/>
    <n v="86"/>
    <s v="New York"/>
    <x v="2"/>
    <x v="1"/>
    <x v="0"/>
    <x v="11"/>
    <x v="0"/>
    <x v="4"/>
    <x v="0"/>
    <x v="0"/>
    <n v="5"/>
    <x v="2"/>
    <x v="5"/>
  </r>
  <r>
    <n v="334"/>
    <x v="31"/>
    <x v="0"/>
    <x v="1"/>
    <x v="0"/>
    <n v="64"/>
    <s v="Alaska"/>
    <x v="2"/>
    <x v="11"/>
    <x v="0"/>
    <x v="9"/>
    <x v="0"/>
    <x v="3"/>
    <x v="0"/>
    <x v="0"/>
    <n v="15"/>
    <x v="4"/>
    <x v="4"/>
  </r>
  <r>
    <n v="335"/>
    <x v="38"/>
    <x v="0"/>
    <x v="0"/>
    <x v="0"/>
    <n v="46"/>
    <s v="Kansas"/>
    <x v="2"/>
    <x v="12"/>
    <x v="3"/>
    <x v="5"/>
    <x v="0"/>
    <x v="2"/>
    <x v="0"/>
    <x v="0"/>
    <n v="30"/>
    <x v="2"/>
    <x v="2"/>
  </r>
  <r>
    <n v="336"/>
    <x v="30"/>
    <x v="0"/>
    <x v="1"/>
    <x v="0"/>
    <n v="85"/>
    <s v="Oregon"/>
    <x v="0"/>
    <x v="1"/>
    <x v="1"/>
    <x v="18"/>
    <x v="0"/>
    <x v="3"/>
    <x v="0"/>
    <x v="0"/>
    <n v="44"/>
    <x v="0"/>
    <x v="6"/>
  </r>
  <r>
    <n v="337"/>
    <x v="24"/>
    <x v="0"/>
    <x v="19"/>
    <x v="3"/>
    <n v="81"/>
    <s v="Rhode Island"/>
    <x v="1"/>
    <x v="20"/>
    <x v="3"/>
    <x v="14"/>
    <x v="0"/>
    <x v="0"/>
    <x v="0"/>
    <x v="0"/>
    <n v="16"/>
    <x v="3"/>
    <x v="2"/>
  </r>
  <r>
    <n v="338"/>
    <x v="45"/>
    <x v="0"/>
    <x v="1"/>
    <x v="0"/>
    <n v="59"/>
    <s v="New Mexico"/>
    <x v="2"/>
    <x v="17"/>
    <x v="0"/>
    <x v="24"/>
    <x v="0"/>
    <x v="4"/>
    <x v="0"/>
    <x v="0"/>
    <n v="16"/>
    <x v="4"/>
    <x v="2"/>
  </r>
  <r>
    <n v="339"/>
    <x v="28"/>
    <x v="0"/>
    <x v="15"/>
    <x v="0"/>
    <n v="79"/>
    <s v="Massachusetts"/>
    <x v="2"/>
    <x v="5"/>
    <x v="0"/>
    <x v="1"/>
    <x v="0"/>
    <x v="0"/>
    <x v="0"/>
    <x v="0"/>
    <n v="16"/>
    <x v="1"/>
    <x v="1"/>
  </r>
  <r>
    <n v="340"/>
    <x v="37"/>
    <x v="0"/>
    <x v="6"/>
    <x v="0"/>
    <n v="33"/>
    <s v="Pennsylvania"/>
    <x v="2"/>
    <x v="11"/>
    <x v="1"/>
    <x v="22"/>
    <x v="0"/>
    <x v="4"/>
    <x v="0"/>
    <x v="0"/>
    <n v="21"/>
    <x v="2"/>
    <x v="6"/>
  </r>
  <r>
    <n v="341"/>
    <x v="37"/>
    <x v="0"/>
    <x v="6"/>
    <x v="0"/>
    <n v="47"/>
    <s v="New Jersey"/>
    <x v="0"/>
    <x v="24"/>
    <x v="2"/>
    <x v="1"/>
    <x v="0"/>
    <x v="0"/>
    <x v="0"/>
    <x v="0"/>
    <n v="39"/>
    <x v="0"/>
    <x v="6"/>
  </r>
  <r>
    <n v="342"/>
    <x v="30"/>
    <x v="0"/>
    <x v="19"/>
    <x v="3"/>
    <n v="20"/>
    <s v="Utah"/>
    <x v="1"/>
    <x v="24"/>
    <x v="2"/>
    <x v="12"/>
    <x v="0"/>
    <x v="5"/>
    <x v="0"/>
    <x v="0"/>
    <n v="40"/>
    <x v="5"/>
    <x v="4"/>
  </r>
  <r>
    <n v="343"/>
    <x v="14"/>
    <x v="0"/>
    <x v="7"/>
    <x v="2"/>
    <n v="36"/>
    <s v="Kentucky"/>
    <x v="2"/>
    <x v="8"/>
    <x v="1"/>
    <x v="5"/>
    <x v="0"/>
    <x v="2"/>
    <x v="0"/>
    <x v="0"/>
    <n v="48"/>
    <x v="2"/>
    <x v="6"/>
  </r>
  <r>
    <n v="344"/>
    <x v="7"/>
    <x v="0"/>
    <x v="3"/>
    <x v="1"/>
    <n v="39"/>
    <s v="Nebraska"/>
    <x v="2"/>
    <x v="7"/>
    <x v="2"/>
    <x v="14"/>
    <x v="0"/>
    <x v="2"/>
    <x v="0"/>
    <x v="0"/>
    <n v="26"/>
    <x v="0"/>
    <x v="5"/>
  </r>
  <r>
    <n v="345"/>
    <x v="41"/>
    <x v="0"/>
    <x v="11"/>
    <x v="0"/>
    <n v="71"/>
    <s v="Virginia"/>
    <x v="2"/>
    <x v="4"/>
    <x v="0"/>
    <x v="17"/>
    <x v="0"/>
    <x v="3"/>
    <x v="0"/>
    <x v="0"/>
    <n v="46"/>
    <x v="5"/>
    <x v="5"/>
  </r>
  <r>
    <n v="346"/>
    <x v="39"/>
    <x v="0"/>
    <x v="9"/>
    <x v="1"/>
    <n v="59"/>
    <s v="Wyoming"/>
    <x v="1"/>
    <x v="8"/>
    <x v="0"/>
    <x v="14"/>
    <x v="0"/>
    <x v="2"/>
    <x v="0"/>
    <x v="0"/>
    <n v="27"/>
    <x v="4"/>
    <x v="2"/>
  </r>
  <r>
    <n v="347"/>
    <x v="34"/>
    <x v="0"/>
    <x v="2"/>
    <x v="0"/>
    <n v="50"/>
    <s v="New Mexico"/>
    <x v="0"/>
    <x v="10"/>
    <x v="1"/>
    <x v="10"/>
    <x v="0"/>
    <x v="2"/>
    <x v="0"/>
    <x v="0"/>
    <n v="5"/>
    <x v="1"/>
    <x v="1"/>
  </r>
  <r>
    <n v="348"/>
    <x v="24"/>
    <x v="0"/>
    <x v="3"/>
    <x v="1"/>
    <n v="41"/>
    <s v="Oregon"/>
    <x v="0"/>
    <x v="16"/>
    <x v="3"/>
    <x v="20"/>
    <x v="0"/>
    <x v="5"/>
    <x v="0"/>
    <x v="0"/>
    <n v="43"/>
    <x v="3"/>
    <x v="0"/>
  </r>
  <r>
    <n v="349"/>
    <x v="19"/>
    <x v="0"/>
    <x v="0"/>
    <x v="0"/>
    <n v="59"/>
    <s v="South Carolina"/>
    <x v="2"/>
    <x v="19"/>
    <x v="3"/>
    <x v="2"/>
    <x v="0"/>
    <x v="1"/>
    <x v="0"/>
    <x v="0"/>
    <n v="17"/>
    <x v="3"/>
    <x v="0"/>
  </r>
  <r>
    <n v="350"/>
    <x v="43"/>
    <x v="0"/>
    <x v="19"/>
    <x v="3"/>
    <n v="87"/>
    <s v="Arizona"/>
    <x v="2"/>
    <x v="14"/>
    <x v="0"/>
    <x v="18"/>
    <x v="0"/>
    <x v="4"/>
    <x v="0"/>
    <x v="0"/>
    <n v="3"/>
    <x v="4"/>
    <x v="4"/>
  </r>
  <r>
    <n v="351"/>
    <x v="32"/>
    <x v="0"/>
    <x v="1"/>
    <x v="0"/>
    <n v="68"/>
    <s v="Kentucky"/>
    <x v="2"/>
    <x v="10"/>
    <x v="1"/>
    <x v="5"/>
    <x v="0"/>
    <x v="4"/>
    <x v="0"/>
    <x v="0"/>
    <n v="47"/>
    <x v="4"/>
    <x v="0"/>
  </r>
  <r>
    <n v="352"/>
    <x v="48"/>
    <x v="0"/>
    <x v="11"/>
    <x v="0"/>
    <n v="90"/>
    <s v="New York"/>
    <x v="2"/>
    <x v="11"/>
    <x v="0"/>
    <x v="20"/>
    <x v="0"/>
    <x v="3"/>
    <x v="0"/>
    <x v="0"/>
    <n v="24"/>
    <x v="5"/>
    <x v="4"/>
  </r>
  <r>
    <n v="353"/>
    <x v="7"/>
    <x v="0"/>
    <x v="2"/>
    <x v="0"/>
    <n v="71"/>
    <s v="Texas"/>
    <x v="3"/>
    <x v="22"/>
    <x v="3"/>
    <x v="8"/>
    <x v="0"/>
    <x v="2"/>
    <x v="0"/>
    <x v="0"/>
    <n v="12"/>
    <x v="1"/>
    <x v="6"/>
  </r>
  <r>
    <n v="354"/>
    <x v="6"/>
    <x v="0"/>
    <x v="4"/>
    <x v="1"/>
    <n v="64"/>
    <s v="Missouri"/>
    <x v="0"/>
    <x v="22"/>
    <x v="3"/>
    <x v="7"/>
    <x v="0"/>
    <x v="5"/>
    <x v="0"/>
    <x v="0"/>
    <n v="35"/>
    <x v="5"/>
    <x v="5"/>
  </r>
  <r>
    <n v="355"/>
    <x v="44"/>
    <x v="0"/>
    <x v="16"/>
    <x v="3"/>
    <n v="76"/>
    <s v="Pennsylvania"/>
    <x v="1"/>
    <x v="8"/>
    <x v="3"/>
    <x v="21"/>
    <x v="0"/>
    <x v="1"/>
    <x v="0"/>
    <x v="0"/>
    <n v="42"/>
    <x v="0"/>
    <x v="1"/>
  </r>
  <r>
    <n v="356"/>
    <x v="43"/>
    <x v="0"/>
    <x v="16"/>
    <x v="3"/>
    <n v="42"/>
    <s v="Oregon"/>
    <x v="3"/>
    <x v="23"/>
    <x v="3"/>
    <x v="7"/>
    <x v="0"/>
    <x v="4"/>
    <x v="0"/>
    <x v="0"/>
    <n v="1"/>
    <x v="3"/>
    <x v="6"/>
  </r>
  <r>
    <n v="357"/>
    <x v="19"/>
    <x v="0"/>
    <x v="13"/>
    <x v="0"/>
    <n v="80"/>
    <s v="Nevada"/>
    <x v="0"/>
    <x v="13"/>
    <x v="1"/>
    <x v="22"/>
    <x v="0"/>
    <x v="3"/>
    <x v="0"/>
    <x v="0"/>
    <n v="27"/>
    <x v="1"/>
    <x v="1"/>
  </r>
  <r>
    <n v="358"/>
    <x v="20"/>
    <x v="0"/>
    <x v="22"/>
    <x v="3"/>
    <n v="56"/>
    <s v="Arkansas"/>
    <x v="2"/>
    <x v="8"/>
    <x v="1"/>
    <x v="17"/>
    <x v="0"/>
    <x v="3"/>
    <x v="0"/>
    <x v="0"/>
    <n v="16"/>
    <x v="2"/>
    <x v="4"/>
  </r>
  <r>
    <n v="359"/>
    <x v="39"/>
    <x v="0"/>
    <x v="19"/>
    <x v="3"/>
    <n v="25"/>
    <s v="Minnesota"/>
    <x v="3"/>
    <x v="23"/>
    <x v="2"/>
    <x v="15"/>
    <x v="0"/>
    <x v="0"/>
    <x v="0"/>
    <x v="0"/>
    <n v="36"/>
    <x v="2"/>
    <x v="6"/>
  </r>
  <r>
    <n v="360"/>
    <x v="18"/>
    <x v="0"/>
    <x v="4"/>
    <x v="1"/>
    <n v="74"/>
    <s v="Georgia"/>
    <x v="2"/>
    <x v="8"/>
    <x v="0"/>
    <x v="21"/>
    <x v="0"/>
    <x v="5"/>
    <x v="0"/>
    <x v="0"/>
    <n v="30"/>
    <x v="2"/>
    <x v="6"/>
  </r>
  <r>
    <n v="361"/>
    <x v="47"/>
    <x v="0"/>
    <x v="13"/>
    <x v="0"/>
    <n v="30"/>
    <s v="Rhode Island"/>
    <x v="2"/>
    <x v="11"/>
    <x v="2"/>
    <x v="21"/>
    <x v="0"/>
    <x v="3"/>
    <x v="0"/>
    <x v="0"/>
    <n v="18"/>
    <x v="5"/>
    <x v="0"/>
  </r>
  <r>
    <n v="362"/>
    <x v="13"/>
    <x v="0"/>
    <x v="17"/>
    <x v="0"/>
    <n v="96"/>
    <s v="Nevada"/>
    <x v="2"/>
    <x v="3"/>
    <x v="1"/>
    <x v="5"/>
    <x v="0"/>
    <x v="1"/>
    <x v="0"/>
    <x v="0"/>
    <n v="45"/>
    <x v="1"/>
    <x v="2"/>
  </r>
  <r>
    <n v="363"/>
    <x v="10"/>
    <x v="0"/>
    <x v="4"/>
    <x v="1"/>
    <n v="64"/>
    <s v="Texas"/>
    <x v="2"/>
    <x v="4"/>
    <x v="3"/>
    <x v="23"/>
    <x v="0"/>
    <x v="1"/>
    <x v="0"/>
    <x v="0"/>
    <n v="1"/>
    <x v="0"/>
    <x v="0"/>
  </r>
  <r>
    <n v="364"/>
    <x v="0"/>
    <x v="0"/>
    <x v="6"/>
    <x v="0"/>
    <n v="88"/>
    <s v="Florida"/>
    <x v="0"/>
    <x v="22"/>
    <x v="0"/>
    <x v="0"/>
    <x v="0"/>
    <x v="1"/>
    <x v="0"/>
    <x v="0"/>
    <n v="42"/>
    <x v="4"/>
    <x v="0"/>
  </r>
  <r>
    <n v="365"/>
    <x v="46"/>
    <x v="0"/>
    <x v="9"/>
    <x v="1"/>
    <n v="88"/>
    <s v="North Dakota"/>
    <x v="0"/>
    <x v="4"/>
    <x v="2"/>
    <x v="21"/>
    <x v="0"/>
    <x v="1"/>
    <x v="0"/>
    <x v="0"/>
    <n v="7"/>
    <x v="0"/>
    <x v="6"/>
  </r>
  <r>
    <n v="366"/>
    <x v="0"/>
    <x v="0"/>
    <x v="24"/>
    <x v="3"/>
    <n v="88"/>
    <s v="West Virginia"/>
    <x v="3"/>
    <x v="0"/>
    <x v="2"/>
    <x v="18"/>
    <x v="0"/>
    <x v="3"/>
    <x v="0"/>
    <x v="0"/>
    <n v="50"/>
    <x v="3"/>
    <x v="3"/>
  </r>
  <r>
    <n v="367"/>
    <x v="14"/>
    <x v="0"/>
    <x v="20"/>
    <x v="0"/>
    <n v="36"/>
    <s v="Nebraska"/>
    <x v="2"/>
    <x v="2"/>
    <x v="1"/>
    <x v="1"/>
    <x v="0"/>
    <x v="5"/>
    <x v="0"/>
    <x v="0"/>
    <n v="37"/>
    <x v="0"/>
    <x v="0"/>
  </r>
  <r>
    <n v="368"/>
    <x v="16"/>
    <x v="0"/>
    <x v="10"/>
    <x v="0"/>
    <n v="40"/>
    <s v="Tennessee"/>
    <x v="3"/>
    <x v="17"/>
    <x v="1"/>
    <x v="11"/>
    <x v="0"/>
    <x v="5"/>
    <x v="0"/>
    <x v="0"/>
    <n v="18"/>
    <x v="4"/>
    <x v="5"/>
  </r>
  <r>
    <n v="369"/>
    <x v="41"/>
    <x v="0"/>
    <x v="8"/>
    <x v="3"/>
    <n v="39"/>
    <s v="Oklahoma"/>
    <x v="2"/>
    <x v="4"/>
    <x v="1"/>
    <x v="9"/>
    <x v="0"/>
    <x v="3"/>
    <x v="0"/>
    <x v="0"/>
    <n v="29"/>
    <x v="1"/>
    <x v="5"/>
  </r>
  <r>
    <n v="370"/>
    <x v="21"/>
    <x v="0"/>
    <x v="22"/>
    <x v="3"/>
    <n v="40"/>
    <s v="Wisconsin"/>
    <x v="2"/>
    <x v="5"/>
    <x v="2"/>
    <x v="13"/>
    <x v="0"/>
    <x v="5"/>
    <x v="0"/>
    <x v="0"/>
    <n v="45"/>
    <x v="3"/>
    <x v="3"/>
  </r>
  <r>
    <n v="371"/>
    <x v="35"/>
    <x v="0"/>
    <x v="18"/>
    <x v="3"/>
    <n v="34"/>
    <s v="Oregon"/>
    <x v="2"/>
    <x v="8"/>
    <x v="0"/>
    <x v="23"/>
    <x v="0"/>
    <x v="0"/>
    <x v="0"/>
    <x v="0"/>
    <n v="13"/>
    <x v="3"/>
    <x v="1"/>
  </r>
  <r>
    <n v="372"/>
    <x v="7"/>
    <x v="0"/>
    <x v="4"/>
    <x v="1"/>
    <n v="83"/>
    <s v="North Carolina"/>
    <x v="1"/>
    <x v="6"/>
    <x v="0"/>
    <x v="4"/>
    <x v="0"/>
    <x v="4"/>
    <x v="0"/>
    <x v="0"/>
    <n v="47"/>
    <x v="3"/>
    <x v="5"/>
  </r>
  <r>
    <n v="373"/>
    <x v="41"/>
    <x v="0"/>
    <x v="1"/>
    <x v="0"/>
    <n v="85"/>
    <s v="Pennsylvania"/>
    <x v="0"/>
    <x v="20"/>
    <x v="2"/>
    <x v="18"/>
    <x v="0"/>
    <x v="3"/>
    <x v="0"/>
    <x v="0"/>
    <n v="7"/>
    <x v="5"/>
    <x v="1"/>
  </r>
  <r>
    <n v="374"/>
    <x v="51"/>
    <x v="0"/>
    <x v="7"/>
    <x v="2"/>
    <n v="27"/>
    <s v="North Dakota"/>
    <x v="0"/>
    <x v="3"/>
    <x v="2"/>
    <x v="12"/>
    <x v="0"/>
    <x v="0"/>
    <x v="0"/>
    <x v="0"/>
    <n v="11"/>
    <x v="0"/>
    <x v="4"/>
  </r>
  <r>
    <n v="375"/>
    <x v="28"/>
    <x v="0"/>
    <x v="16"/>
    <x v="3"/>
    <n v="78"/>
    <s v="Ohio"/>
    <x v="1"/>
    <x v="7"/>
    <x v="1"/>
    <x v="16"/>
    <x v="0"/>
    <x v="5"/>
    <x v="0"/>
    <x v="0"/>
    <n v="39"/>
    <x v="4"/>
    <x v="5"/>
  </r>
  <r>
    <n v="376"/>
    <x v="35"/>
    <x v="0"/>
    <x v="12"/>
    <x v="3"/>
    <n v="32"/>
    <s v="Oklahoma"/>
    <x v="2"/>
    <x v="8"/>
    <x v="2"/>
    <x v="14"/>
    <x v="0"/>
    <x v="3"/>
    <x v="0"/>
    <x v="0"/>
    <n v="6"/>
    <x v="5"/>
    <x v="3"/>
  </r>
  <r>
    <n v="377"/>
    <x v="47"/>
    <x v="0"/>
    <x v="9"/>
    <x v="1"/>
    <n v="51"/>
    <s v="South Carolina"/>
    <x v="1"/>
    <x v="0"/>
    <x v="3"/>
    <x v="8"/>
    <x v="0"/>
    <x v="0"/>
    <x v="0"/>
    <x v="0"/>
    <n v="2"/>
    <x v="0"/>
    <x v="4"/>
  </r>
  <r>
    <n v="378"/>
    <x v="6"/>
    <x v="0"/>
    <x v="18"/>
    <x v="3"/>
    <n v="32"/>
    <s v="Maine"/>
    <x v="2"/>
    <x v="5"/>
    <x v="1"/>
    <x v="7"/>
    <x v="0"/>
    <x v="3"/>
    <x v="0"/>
    <x v="0"/>
    <n v="39"/>
    <x v="2"/>
    <x v="6"/>
  </r>
  <r>
    <n v="379"/>
    <x v="22"/>
    <x v="0"/>
    <x v="10"/>
    <x v="0"/>
    <n v="62"/>
    <s v="Nevada"/>
    <x v="0"/>
    <x v="20"/>
    <x v="0"/>
    <x v="8"/>
    <x v="0"/>
    <x v="2"/>
    <x v="0"/>
    <x v="0"/>
    <n v="23"/>
    <x v="2"/>
    <x v="5"/>
  </r>
  <r>
    <n v="380"/>
    <x v="45"/>
    <x v="0"/>
    <x v="17"/>
    <x v="0"/>
    <n v="29"/>
    <s v="Montana"/>
    <x v="1"/>
    <x v="23"/>
    <x v="3"/>
    <x v="10"/>
    <x v="0"/>
    <x v="4"/>
    <x v="0"/>
    <x v="0"/>
    <n v="46"/>
    <x v="5"/>
    <x v="4"/>
  </r>
  <r>
    <n v="381"/>
    <x v="31"/>
    <x v="0"/>
    <x v="21"/>
    <x v="3"/>
    <n v="69"/>
    <s v="New Hampshire"/>
    <x v="3"/>
    <x v="19"/>
    <x v="3"/>
    <x v="21"/>
    <x v="0"/>
    <x v="5"/>
    <x v="0"/>
    <x v="0"/>
    <n v="19"/>
    <x v="4"/>
    <x v="1"/>
  </r>
  <r>
    <n v="382"/>
    <x v="17"/>
    <x v="0"/>
    <x v="16"/>
    <x v="3"/>
    <n v="25"/>
    <s v="Maine"/>
    <x v="0"/>
    <x v="12"/>
    <x v="0"/>
    <x v="23"/>
    <x v="0"/>
    <x v="5"/>
    <x v="0"/>
    <x v="0"/>
    <n v="3"/>
    <x v="2"/>
    <x v="6"/>
  </r>
  <r>
    <n v="383"/>
    <x v="48"/>
    <x v="0"/>
    <x v="2"/>
    <x v="0"/>
    <n v="76"/>
    <s v="California"/>
    <x v="2"/>
    <x v="15"/>
    <x v="0"/>
    <x v="4"/>
    <x v="0"/>
    <x v="5"/>
    <x v="0"/>
    <x v="0"/>
    <n v="47"/>
    <x v="3"/>
    <x v="3"/>
  </r>
  <r>
    <n v="384"/>
    <x v="2"/>
    <x v="0"/>
    <x v="12"/>
    <x v="3"/>
    <n v="77"/>
    <s v="West Virginia"/>
    <x v="1"/>
    <x v="23"/>
    <x v="3"/>
    <x v="3"/>
    <x v="0"/>
    <x v="3"/>
    <x v="0"/>
    <x v="0"/>
    <n v="6"/>
    <x v="3"/>
    <x v="3"/>
  </r>
  <r>
    <n v="385"/>
    <x v="27"/>
    <x v="0"/>
    <x v="1"/>
    <x v="0"/>
    <n v="33"/>
    <s v="California"/>
    <x v="2"/>
    <x v="19"/>
    <x v="3"/>
    <x v="9"/>
    <x v="0"/>
    <x v="4"/>
    <x v="0"/>
    <x v="0"/>
    <n v="6"/>
    <x v="0"/>
    <x v="2"/>
  </r>
  <r>
    <n v="386"/>
    <x v="29"/>
    <x v="0"/>
    <x v="6"/>
    <x v="0"/>
    <n v="93"/>
    <s v="West Virginia"/>
    <x v="1"/>
    <x v="22"/>
    <x v="3"/>
    <x v="2"/>
    <x v="0"/>
    <x v="2"/>
    <x v="0"/>
    <x v="0"/>
    <n v="12"/>
    <x v="2"/>
    <x v="4"/>
  </r>
  <r>
    <n v="387"/>
    <x v="14"/>
    <x v="0"/>
    <x v="16"/>
    <x v="3"/>
    <n v="39"/>
    <s v="Louisiana"/>
    <x v="0"/>
    <x v="18"/>
    <x v="1"/>
    <x v="23"/>
    <x v="0"/>
    <x v="0"/>
    <x v="0"/>
    <x v="0"/>
    <n v="40"/>
    <x v="3"/>
    <x v="3"/>
  </r>
  <r>
    <n v="388"/>
    <x v="4"/>
    <x v="0"/>
    <x v="7"/>
    <x v="2"/>
    <n v="93"/>
    <s v="Georgia"/>
    <x v="0"/>
    <x v="5"/>
    <x v="2"/>
    <x v="12"/>
    <x v="0"/>
    <x v="5"/>
    <x v="0"/>
    <x v="0"/>
    <n v="38"/>
    <x v="3"/>
    <x v="0"/>
  </r>
  <r>
    <n v="389"/>
    <x v="40"/>
    <x v="0"/>
    <x v="8"/>
    <x v="3"/>
    <n v="82"/>
    <s v="Washington"/>
    <x v="2"/>
    <x v="20"/>
    <x v="2"/>
    <x v="2"/>
    <x v="0"/>
    <x v="5"/>
    <x v="0"/>
    <x v="0"/>
    <n v="10"/>
    <x v="3"/>
    <x v="3"/>
  </r>
  <r>
    <n v="390"/>
    <x v="7"/>
    <x v="0"/>
    <x v="23"/>
    <x v="1"/>
    <n v="42"/>
    <s v="Virginia"/>
    <x v="0"/>
    <x v="7"/>
    <x v="1"/>
    <x v="19"/>
    <x v="0"/>
    <x v="3"/>
    <x v="0"/>
    <x v="0"/>
    <n v="28"/>
    <x v="4"/>
    <x v="5"/>
  </r>
  <r>
    <n v="391"/>
    <x v="15"/>
    <x v="0"/>
    <x v="24"/>
    <x v="3"/>
    <n v="71"/>
    <s v="Indiana"/>
    <x v="2"/>
    <x v="21"/>
    <x v="0"/>
    <x v="4"/>
    <x v="0"/>
    <x v="4"/>
    <x v="0"/>
    <x v="0"/>
    <n v="19"/>
    <x v="3"/>
    <x v="2"/>
  </r>
  <r>
    <n v="392"/>
    <x v="43"/>
    <x v="0"/>
    <x v="1"/>
    <x v="0"/>
    <n v="86"/>
    <s v="Minnesota"/>
    <x v="0"/>
    <x v="0"/>
    <x v="1"/>
    <x v="6"/>
    <x v="0"/>
    <x v="3"/>
    <x v="0"/>
    <x v="0"/>
    <n v="25"/>
    <x v="1"/>
    <x v="0"/>
  </r>
  <r>
    <n v="393"/>
    <x v="8"/>
    <x v="0"/>
    <x v="17"/>
    <x v="0"/>
    <n v="82"/>
    <s v="Idaho"/>
    <x v="3"/>
    <x v="13"/>
    <x v="1"/>
    <x v="13"/>
    <x v="0"/>
    <x v="2"/>
    <x v="0"/>
    <x v="0"/>
    <n v="38"/>
    <x v="2"/>
    <x v="2"/>
  </r>
  <r>
    <n v="394"/>
    <x v="23"/>
    <x v="0"/>
    <x v="9"/>
    <x v="1"/>
    <n v="65"/>
    <s v="Vermont"/>
    <x v="0"/>
    <x v="1"/>
    <x v="3"/>
    <x v="19"/>
    <x v="0"/>
    <x v="3"/>
    <x v="0"/>
    <x v="0"/>
    <n v="6"/>
    <x v="3"/>
    <x v="0"/>
  </r>
  <r>
    <n v="395"/>
    <x v="49"/>
    <x v="0"/>
    <x v="18"/>
    <x v="3"/>
    <n v="29"/>
    <s v="North Dakota"/>
    <x v="2"/>
    <x v="19"/>
    <x v="1"/>
    <x v="6"/>
    <x v="0"/>
    <x v="5"/>
    <x v="0"/>
    <x v="0"/>
    <n v="7"/>
    <x v="5"/>
    <x v="4"/>
  </r>
  <r>
    <n v="396"/>
    <x v="43"/>
    <x v="0"/>
    <x v="4"/>
    <x v="1"/>
    <n v="65"/>
    <s v="Rhode Island"/>
    <x v="0"/>
    <x v="18"/>
    <x v="0"/>
    <x v="8"/>
    <x v="0"/>
    <x v="5"/>
    <x v="0"/>
    <x v="0"/>
    <n v="2"/>
    <x v="3"/>
    <x v="2"/>
  </r>
  <r>
    <n v="397"/>
    <x v="5"/>
    <x v="0"/>
    <x v="10"/>
    <x v="0"/>
    <n v="88"/>
    <s v="South Carolina"/>
    <x v="1"/>
    <x v="13"/>
    <x v="3"/>
    <x v="20"/>
    <x v="0"/>
    <x v="3"/>
    <x v="0"/>
    <x v="0"/>
    <n v="24"/>
    <x v="4"/>
    <x v="2"/>
  </r>
  <r>
    <n v="398"/>
    <x v="40"/>
    <x v="0"/>
    <x v="22"/>
    <x v="3"/>
    <n v="46"/>
    <s v="Mississippi"/>
    <x v="2"/>
    <x v="21"/>
    <x v="3"/>
    <x v="21"/>
    <x v="0"/>
    <x v="1"/>
    <x v="0"/>
    <x v="0"/>
    <n v="26"/>
    <x v="1"/>
    <x v="2"/>
  </r>
  <r>
    <n v="399"/>
    <x v="30"/>
    <x v="0"/>
    <x v="23"/>
    <x v="1"/>
    <n v="67"/>
    <s v="Montana"/>
    <x v="1"/>
    <x v="5"/>
    <x v="0"/>
    <x v="12"/>
    <x v="0"/>
    <x v="1"/>
    <x v="0"/>
    <x v="0"/>
    <n v="25"/>
    <x v="5"/>
    <x v="6"/>
  </r>
  <r>
    <n v="400"/>
    <x v="52"/>
    <x v="0"/>
    <x v="18"/>
    <x v="3"/>
    <n v="35"/>
    <s v="Idaho"/>
    <x v="0"/>
    <x v="24"/>
    <x v="3"/>
    <x v="1"/>
    <x v="0"/>
    <x v="4"/>
    <x v="0"/>
    <x v="0"/>
    <n v="10"/>
    <x v="5"/>
    <x v="5"/>
  </r>
  <r>
    <n v="401"/>
    <x v="31"/>
    <x v="0"/>
    <x v="23"/>
    <x v="1"/>
    <n v="66"/>
    <s v="Utah"/>
    <x v="2"/>
    <x v="14"/>
    <x v="0"/>
    <x v="6"/>
    <x v="0"/>
    <x v="1"/>
    <x v="0"/>
    <x v="0"/>
    <n v="14"/>
    <x v="3"/>
    <x v="0"/>
  </r>
  <r>
    <n v="402"/>
    <x v="49"/>
    <x v="0"/>
    <x v="17"/>
    <x v="0"/>
    <n v="91"/>
    <s v="Oklahoma"/>
    <x v="0"/>
    <x v="20"/>
    <x v="3"/>
    <x v="6"/>
    <x v="0"/>
    <x v="3"/>
    <x v="0"/>
    <x v="0"/>
    <n v="21"/>
    <x v="1"/>
    <x v="3"/>
  </r>
  <r>
    <n v="403"/>
    <x v="18"/>
    <x v="0"/>
    <x v="21"/>
    <x v="3"/>
    <n v="78"/>
    <s v="California"/>
    <x v="0"/>
    <x v="17"/>
    <x v="3"/>
    <x v="21"/>
    <x v="0"/>
    <x v="0"/>
    <x v="0"/>
    <x v="0"/>
    <n v="26"/>
    <x v="3"/>
    <x v="5"/>
  </r>
  <r>
    <n v="404"/>
    <x v="1"/>
    <x v="0"/>
    <x v="4"/>
    <x v="1"/>
    <n v="45"/>
    <s v="Nevada"/>
    <x v="2"/>
    <x v="20"/>
    <x v="0"/>
    <x v="9"/>
    <x v="0"/>
    <x v="2"/>
    <x v="0"/>
    <x v="0"/>
    <n v="12"/>
    <x v="4"/>
    <x v="2"/>
  </r>
  <r>
    <n v="405"/>
    <x v="25"/>
    <x v="0"/>
    <x v="17"/>
    <x v="0"/>
    <n v="93"/>
    <s v="Delaware"/>
    <x v="2"/>
    <x v="21"/>
    <x v="1"/>
    <x v="6"/>
    <x v="0"/>
    <x v="5"/>
    <x v="0"/>
    <x v="0"/>
    <n v="11"/>
    <x v="2"/>
    <x v="5"/>
  </r>
  <r>
    <n v="406"/>
    <x v="38"/>
    <x v="0"/>
    <x v="2"/>
    <x v="0"/>
    <n v="74"/>
    <s v="South Carolina"/>
    <x v="1"/>
    <x v="5"/>
    <x v="2"/>
    <x v="22"/>
    <x v="0"/>
    <x v="3"/>
    <x v="0"/>
    <x v="0"/>
    <n v="15"/>
    <x v="1"/>
    <x v="2"/>
  </r>
  <r>
    <n v="407"/>
    <x v="16"/>
    <x v="0"/>
    <x v="24"/>
    <x v="3"/>
    <n v="55"/>
    <s v="Maryland"/>
    <x v="2"/>
    <x v="15"/>
    <x v="1"/>
    <x v="12"/>
    <x v="0"/>
    <x v="0"/>
    <x v="0"/>
    <x v="0"/>
    <n v="13"/>
    <x v="1"/>
    <x v="5"/>
  </r>
  <r>
    <n v="408"/>
    <x v="4"/>
    <x v="0"/>
    <x v="15"/>
    <x v="0"/>
    <n v="76"/>
    <s v="North Carolina"/>
    <x v="3"/>
    <x v="11"/>
    <x v="1"/>
    <x v="0"/>
    <x v="0"/>
    <x v="2"/>
    <x v="0"/>
    <x v="0"/>
    <n v="5"/>
    <x v="2"/>
    <x v="4"/>
  </r>
  <r>
    <n v="409"/>
    <x v="50"/>
    <x v="0"/>
    <x v="4"/>
    <x v="1"/>
    <n v="66"/>
    <s v="Alabama"/>
    <x v="0"/>
    <x v="3"/>
    <x v="1"/>
    <x v="23"/>
    <x v="0"/>
    <x v="0"/>
    <x v="0"/>
    <x v="0"/>
    <n v="36"/>
    <x v="1"/>
    <x v="0"/>
  </r>
  <r>
    <n v="410"/>
    <x v="25"/>
    <x v="0"/>
    <x v="6"/>
    <x v="0"/>
    <n v="51"/>
    <s v="Minnesota"/>
    <x v="2"/>
    <x v="18"/>
    <x v="0"/>
    <x v="13"/>
    <x v="0"/>
    <x v="4"/>
    <x v="0"/>
    <x v="0"/>
    <n v="32"/>
    <x v="4"/>
    <x v="5"/>
  </r>
  <r>
    <n v="411"/>
    <x v="26"/>
    <x v="0"/>
    <x v="1"/>
    <x v="0"/>
    <n v="26"/>
    <s v="Virginia"/>
    <x v="0"/>
    <x v="12"/>
    <x v="1"/>
    <x v="6"/>
    <x v="0"/>
    <x v="4"/>
    <x v="0"/>
    <x v="0"/>
    <n v="1"/>
    <x v="2"/>
    <x v="3"/>
  </r>
  <r>
    <n v="412"/>
    <x v="35"/>
    <x v="0"/>
    <x v="2"/>
    <x v="0"/>
    <n v="29"/>
    <s v="Michigan"/>
    <x v="2"/>
    <x v="21"/>
    <x v="2"/>
    <x v="11"/>
    <x v="0"/>
    <x v="0"/>
    <x v="0"/>
    <x v="0"/>
    <n v="15"/>
    <x v="3"/>
    <x v="2"/>
  </r>
  <r>
    <n v="413"/>
    <x v="41"/>
    <x v="0"/>
    <x v="14"/>
    <x v="2"/>
    <n v="74"/>
    <s v="Maine"/>
    <x v="2"/>
    <x v="22"/>
    <x v="2"/>
    <x v="0"/>
    <x v="0"/>
    <x v="5"/>
    <x v="0"/>
    <x v="0"/>
    <n v="3"/>
    <x v="4"/>
    <x v="1"/>
  </r>
  <r>
    <n v="414"/>
    <x v="27"/>
    <x v="0"/>
    <x v="16"/>
    <x v="3"/>
    <n v="99"/>
    <s v="Nevada"/>
    <x v="1"/>
    <x v="3"/>
    <x v="2"/>
    <x v="12"/>
    <x v="0"/>
    <x v="1"/>
    <x v="0"/>
    <x v="0"/>
    <n v="48"/>
    <x v="1"/>
    <x v="5"/>
  </r>
  <r>
    <n v="415"/>
    <x v="26"/>
    <x v="0"/>
    <x v="21"/>
    <x v="3"/>
    <n v="88"/>
    <s v="Wyoming"/>
    <x v="0"/>
    <x v="10"/>
    <x v="0"/>
    <x v="5"/>
    <x v="0"/>
    <x v="5"/>
    <x v="0"/>
    <x v="0"/>
    <n v="30"/>
    <x v="5"/>
    <x v="1"/>
  </r>
  <r>
    <n v="416"/>
    <x v="29"/>
    <x v="0"/>
    <x v="7"/>
    <x v="2"/>
    <n v="31"/>
    <s v="Connecticut"/>
    <x v="2"/>
    <x v="12"/>
    <x v="0"/>
    <x v="5"/>
    <x v="0"/>
    <x v="0"/>
    <x v="0"/>
    <x v="0"/>
    <n v="40"/>
    <x v="4"/>
    <x v="5"/>
  </r>
  <r>
    <n v="417"/>
    <x v="24"/>
    <x v="0"/>
    <x v="22"/>
    <x v="3"/>
    <n v="55"/>
    <s v="Oregon"/>
    <x v="0"/>
    <x v="8"/>
    <x v="1"/>
    <x v="22"/>
    <x v="0"/>
    <x v="1"/>
    <x v="0"/>
    <x v="0"/>
    <n v="24"/>
    <x v="4"/>
    <x v="0"/>
  </r>
  <r>
    <n v="418"/>
    <x v="51"/>
    <x v="0"/>
    <x v="3"/>
    <x v="1"/>
    <n v="81"/>
    <s v="Mississippi"/>
    <x v="0"/>
    <x v="19"/>
    <x v="3"/>
    <x v="9"/>
    <x v="0"/>
    <x v="1"/>
    <x v="0"/>
    <x v="0"/>
    <n v="48"/>
    <x v="5"/>
    <x v="3"/>
  </r>
  <r>
    <n v="419"/>
    <x v="20"/>
    <x v="0"/>
    <x v="1"/>
    <x v="0"/>
    <n v="73"/>
    <s v="Illinois"/>
    <x v="0"/>
    <x v="7"/>
    <x v="1"/>
    <x v="21"/>
    <x v="0"/>
    <x v="3"/>
    <x v="0"/>
    <x v="0"/>
    <n v="27"/>
    <x v="0"/>
    <x v="4"/>
  </r>
  <r>
    <n v="420"/>
    <x v="10"/>
    <x v="0"/>
    <x v="6"/>
    <x v="0"/>
    <n v="91"/>
    <s v="Utah"/>
    <x v="1"/>
    <x v="11"/>
    <x v="0"/>
    <x v="1"/>
    <x v="0"/>
    <x v="1"/>
    <x v="0"/>
    <x v="0"/>
    <n v="14"/>
    <x v="2"/>
    <x v="6"/>
  </r>
  <r>
    <n v="421"/>
    <x v="45"/>
    <x v="0"/>
    <x v="20"/>
    <x v="0"/>
    <n v="54"/>
    <s v="North Carolina"/>
    <x v="1"/>
    <x v="15"/>
    <x v="1"/>
    <x v="22"/>
    <x v="0"/>
    <x v="1"/>
    <x v="0"/>
    <x v="0"/>
    <n v="18"/>
    <x v="5"/>
    <x v="4"/>
  </r>
  <r>
    <n v="422"/>
    <x v="21"/>
    <x v="0"/>
    <x v="5"/>
    <x v="0"/>
    <n v="40"/>
    <s v="Kentucky"/>
    <x v="2"/>
    <x v="10"/>
    <x v="0"/>
    <x v="1"/>
    <x v="0"/>
    <x v="3"/>
    <x v="0"/>
    <x v="0"/>
    <n v="48"/>
    <x v="1"/>
    <x v="4"/>
  </r>
  <r>
    <n v="423"/>
    <x v="36"/>
    <x v="0"/>
    <x v="13"/>
    <x v="0"/>
    <n v="59"/>
    <s v="Minnesota"/>
    <x v="2"/>
    <x v="7"/>
    <x v="3"/>
    <x v="0"/>
    <x v="0"/>
    <x v="5"/>
    <x v="0"/>
    <x v="0"/>
    <n v="32"/>
    <x v="5"/>
    <x v="2"/>
  </r>
  <r>
    <n v="424"/>
    <x v="5"/>
    <x v="0"/>
    <x v="18"/>
    <x v="3"/>
    <n v="26"/>
    <s v="New York"/>
    <x v="0"/>
    <x v="11"/>
    <x v="1"/>
    <x v="21"/>
    <x v="0"/>
    <x v="5"/>
    <x v="0"/>
    <x v="0"/>
    <n v="21"/>
    <x v="2"/>
    <x v="4"/>
  </r>
  <r>
    <n v="425"/>
    <x v="17"/>
    <x v="0"/>
    <x v="1"/>
    <x v="0"/>
    <n v="23"/>
    <s v="Illinois"/>
    <x v="2"/>
    <x v="9"/>
    <x v="0"/>
    <x v="24"/>
    <x v="0"/>
    <x v="3"/>
    <x v="0"/>
    <x v="0"/>
    <n v="42"/>
    <x v="3"/>
    <x v="0"/>
  </r>
  <r>
    <n v="426"/>
    <x v="37"/>
    <x v="0"/>
    <x v="2"/>
    <x v="0"/>
    <n v="87"/>
    <s v="North Dakota"/>
    <x v="1"/>
    <x v="11"/>
    <x v="0"/>
    <x v="13"/>
    <x v="0"/>
    <x v="5"/>
    <x v="0"/>
    <x v="0"/>
    <n v="4"/>
    <x v="2"/>
    <x v="3"/>
  </r>
  <r>
    <n v="427"/>
    <x v="49"/>
    <x v="0"/>
    <x v="13"/>
    <x v="0"/>
    <n v="71"/>
    <s v="Louisiana"/>
    <x v="2"/>
    <x v="10"/>
    <x v="0"/>
    <x v="10"/>
    <x v="0"/>
    <x v="0"/>
    <x v="0"/>
    <x v="0"/>
    <n v="19"/>
    <x v="2"/>
    <x v="3"/>
  </r>
  <r>
    <n v="428"/>
    <x v="44"/>
    <x v="0"/>
    <x v="21"/>
    <x v="3"/>
    <n v="91"/>
    <s v="Illinois"/>
    <x v="0"/>
    <x v="13"/>
    <x v="0"/>
    <x v="9"/>
    <x v="0"/>
    <x v="5"/>
    <x v="0"/>
    <x v="0"/>
    <n v="6"/>
    <x v="2"/>
    <x v="3"/>
  </r>
  <r>
    <n v="429"/>
    <x v="3"/>
    <x v="0"/>
    <x v="7"/>
    <x v="2"/>
    <n v="64"/>
    <s v="Wyoming"/>
    <x v="3"/>
    <x v="9"/>
    <x v="0"/>
    <x v="3"/>
    <x v="0"/>
    <x v="1"/>
    <x v="0"/>
    <x v="0"/>
    <n v="2"/>
    <x v="5"/>
    <x v="0"/>
  </r>
  <r>
    <n v="430"/>
    <x v="32"/>
    <x v="0"/>
    <x v="3"/>
    <x v="1"/>
    <n v="94"/>
    <s v="Washington"/>
    <x v="2"/>
    <x v="9"/>
    <x v="0"/>
    <x v="7"/>
    <x v="0"/>
    <x v="4"/>
    <x v="0"/>
    <x v="0"/>
    <n v="21"/>
    <x v="1"/>
    <x v="0"/>
  </r>
  <r>
    <n v="431"/>
    <x v="41"/>
    <x v="0"/>
    <x v="5"/>
    <x v="0"/>
    <n v="40"/>
    <s v="Texas"/>
    <x v="2"/>
    <x v="18"/>
    <x v="2"/>
    <x v="1"/>
    <x v="0"/>
    <x v="5"/>
    <x v="0"/>
    <x v="0"/>
    <n v="40"/>
    <x v="5"/>
    <x v="2"/>
  </r>
  <r>
    <n v="432"/>
    <x v="49"/>
    <x v="0"/>
    <x v="19"/>
    <x v="3"/>
    <n v="76"/>
    <s v="New Hampshire"/>
    <x v="0"/>
    <x v="17"/>
    <x v="0"/>
    <x v="23"/>
    <x v="0"/>
    <x v="5"/>
    <x v="0"/>
    <x v="0"/>
    <n v="33"/>
    <x v="1"/>
    <x v="0"/>
  </r>
  <r>
    <n v="433"/>
    <x v="36"/>
    <x v="0"/>
    <x v="5"/>
    <x v="0"/>
    <n v="86"/>
    <s v="Indiana"/>
    <x v="1"/>
    <x v="21"/>
    <x v="3"/>
    <x v="13"/>
    <x v="0"/>
    <x v="1"/>
    <x v="0"/>
    <x v="0"/>
    <n v="26"/>
    <x v="0"/>
    <x v="1"/>
  </r>
  <r>
    <n v="434"/>
    <x v="34"/>
    <x v="0"/>
    <x v="11"/>
    <x v="0"/>
    <n v="92"/>
    <s v="Alabama"/>
    <x v="2"/>
    <x v="20"/>
    <x v="3"/>
    <x v="4"/>
    <x v="0"/>
    <x v="5"/>
    <x v="0"/>
    <x v="0"/>
    <n v="23"/>
    <x v="2"/>
    <x v="0"/>
  </r>
  <r>
    <n v="435"/>
    <x v="2"/>
    <x v="0"/>
    <x v="9"/>
    <x v="1"/>
    <n v="52"/>
    <s v="Oklahoma"/>
    <x v="0"/>
    <x v="6"/>
    <x v="1"/>
    <x v="17"/>
    <x v="0"/>
    <x v="5"/>
    <x v="0"/>
    <x v="0"/>
    <n v="39"/>
    <x v="3"/>
    <x v="6"/>
  </r>
  <r>
    <n v="436"/>
    <x v="47"/>
    <x v="0"/>
    <x v="7"/>
    <x v="2"/>
    <n v="28"/>
    <s v="Montana"/>
    <x v="3"/>
    <x v="8"/>
    <x v="0"/>
    <x v="15"/>
    <x v="0"/>
    <x v="2"/>
    <x v="0"/>
    <x v="0"/>
    <n v="42"/>
    <x v="4"/>
    <x v="5"/>
  </r>
  <r>
    <n v="437"/>
    <x v="37"/>
    <x v="0"/>
    <x v="13"/>
    <x v="0"/>
    <n v="46"/>
    <s v="Tennessee"/>
    <x v="0"/>
    <x v="17"/>
    <x v="2"/>
    <x v="12"/>
    <x v="0"/>
    <x v="1"/>
    <x v="0"/>
    <x v="0"/>
    <n v="41"/>
    <x v="4"/>
    <x v="1"/>
  </r>
  <r>
    <n v="438"/>
    <x v="4"/>
    <x v="0"/>
    <x v="16"/>
    <x v="3"/>
    <n v="50"/>
    <s v="New Mexico"/>
    <x v="2"/>
    <x v="15"/>
    <x v="2"/>
    <x v="5"/>
    <x v="0"/>
    <x v="2"/>
    <x v="0"/>
    <x v="0"/>
    <n v="41"/>
    <x v="3"/>
    <x v="2"/>
  </r>
  <r>
    <n v="439"/>
    <x v="16"/>
    <x v="0"/>
    <x v="22"/>
    <x v="3"/>
    <n v="23"/>
    <s v="Iowa"/>
    <x v="2"/>
    <x v="2"/>
    <x v="0"/>
    <x v="24"/>
    <x v="0"/>
    <x v="0"/>
    <x v="0"/>
    <x v="0"/>
    <n v="12"/>
    <x v="2"/>
    <x v="0"/>
  </r>
  <r>
    <n v="440"/>
    <x v="46"/>
    <x v="0"/>
    <x v="14"/>
    <x v="2"/>
    <n v="50"/>
    <s v="Idaho"/>
    <x v="2"/>
    <x v="2"/>
    <x v="2"/>
    <x v="23"/>
    <x v="0"/>
    <x v="1"/>
    <x v="0"/>
    <x v="0"/>
    <n v="31"/>
    <x v="1"/>
    <x v="5"/>
  </r>
  <r>
    <n v="441"/>
    <x v="30"/>
    <x v="0"/>
    <x v="5"/>
    <x v="0"/>
    <n v="89"/>
    <s v="Oklahoma"/>
    <x v="3"/>
    <x v="1"/>
    <x v="0"/>
    <x v="1"/>
    <x v="0"/>
    <x v="5"/>
    <x v="0"/>
    <x v="0"/>
    <n v="34"/>
    <x v="5"/>
    <x v="0"/>
  </r>
  <r>
    <n v="442"/>
    <x v="49"/>
    <x v="0"/>
    <x v="15"/>
    <x v="0"/>
    <n v="81"/>
    <s v="Florida"/>
    <x v="2"/>
    <x v="1"/>
    <x v="0"/>
    <x v="19"/>
    <x v="0"/>
    <x v="3"/>
    <x v="0"/>
    <x v="0"/>
    <n v="32"/>
    <x v="2"/>
    <x v="2"/>
  </r>
  <r>
    <n v="443"/>
    <x v="26"/>
    <x v="0"/>
    <x v="12"/>
    <x v="3"/>
    <n v="69"/>
    <s v="Michigan"/>
    <x v="2"/>
    <x v="8"/>
    <x v="3"/>
    <x v="1"/>
    <x v="0"/>
    <x v="5"/>
    <x v="0"/>
    <x v="0"/>
    <n v="31"/>
    <x v="2"/>
    <x v="3"/>
  </r>
  <r>
    <n v="444"/>
    <x v="40"/>
    <x v="0"/>
    <x v="12"/>
    <x v="3"/>
    <n v="67"/>
    <s v="Hawaii"/>
    <x v="2"/>
    <x v="23"/>
    <x v="2"/>
    <x v="15"/>
    <x v="0"/>
    <x v="1"/>
    <x v="0"/>
    <x v="0"/>
    <n v="24"/>
    <x v="3"/>
    <x v="2"/>
  </r>
  <r>
    <n v="445"/>
    <x v="39"/>
    <x v="0"/>
    <x v="10"/>
    <x v="0"/>
    <n v="20"/>
    <s v="California"/>
    <x v="2"/>
    <x v="16"/>
    <x v="2"/>
    <x v="24"/>
    <x v="0"/>
    <x v="5"/>
    <x v="0"/>
    <x v="0"/>
    <n v="31"/>
    <x v="5"/>
    <x v="2"/>
  </r>
  <r>
    <n v="446"/>
    <x v="32"/>
    <x v="0"/>
    <x v="23"/>
    <x v="1"/>
    <n v="29"/>
    <s v="Iowa"/>
    <x v="2"/>
    <x v="8"/>
    <x v="3"/>
    <x v="8"/>
    <x v="0"/>
    <x v="3"/>
    <x v="0"/>
    <x v="0"/>
    <n v="18"/>
    <x v="0"/>
    <x v="2"/>
  </r>
  <r>
    <n v="447"/>
    <x v="1"/>
    <x v="0"/>
    <x v="5"/>
    <x v="0"/>
    <n v="74"/>
    <s v="West Virginia"/>
    <x v="2"/>
    <x v="5"/>
    <x v="2"/>
    <x v="7"/>
    <x v="0"/>
    <x v="5"/>
    <x v="0"/>
    <x v="0"/>
    <n v="15"/>
    <x v="0"/>
    <x v="5"/>
  </r>
  <r>
    <n v="448"/>
    <x v="52"/>
    <x v="0"/>
    <x v="6"/>
    <x v="0"/>
    <n v="82"/>
    <s v="Washington"/>
    <x v="1"/>
    <x v="2"/>
    <x v="1"/>
    <x v="15"/>
    <x v="0"/>
    <x v="3"/>
    <x v="0"/>
    <x v="0"/>
    <n v="7"/>
    <x v="4"/>
    <x v="6"/>
  </r>
  <r>
    <n v="449"/>
    <x v="45"/>
    <x v="0"/>
    <x v="24"/>
    <x v="3"/>
    <n v="23"/>
    <s v="Missouri"/>
    <x v="2"/>
    <x v="22"/>
    <x v="2"/>
    <x v="23"/>
    <x v="0"/>
    <x v="2"/>
    <x v="0"/>
    <x v="0"/>
    <n v="35"/>
    <x v="4"/>
    <x v="0"/>
  </r>
  <r>
    <n v="450"/>
    <x v="8"/>
    <x v="0"/>
    <x v="16"/>
    <x v="3"/>
    <n v="45"/>
    <s v="New York"/>
    <x v="0"/>
    <x v="15"/>
    <x v="2"/>
    <x v="3"/>
    <x v="0"/>
    <x v="4"/>
    <x v="0"/>
    <x v="0"/>
    <n v="35"/>
    <x v="4"/>
    <x v="5"/>
  </r>
  <r>
    <n v="451"/>
    <x v="15"/>
    <x v="0"/>
    <x v="23"/>
    <x v="1"/>
    <n v="21"/>
    <s v="Connecticut"/>
    <x v="0"/>
    <x v="19"/>
    <x v="2"/>
    <x v="2"/>
    <x v="0"/>
    <x v="5"/>
    <x v="0"/>
    <x v="0"/>
    <n v="19"/>
    <x v="2"/>
    <x v="5"/>
  </r>
  <r>
    <n v="452"/>
    <x v="17"/>
    <x v="0"/>
    <x v="16"/>
    <x v="3"/>
    <n v="31"/>
    <s v="Virginia"/>
    <x v="2"/>
    <x v="6"/>
    <x v="2"/>
    <x v="24"/>
    <x v="0"/>
    <x v="0"/>
    <x v="0"/>
    <x v="0"/>
    <n v="26"/>
    <x v="2"/>
    <x v="0"/>
  </r>
  <r>
    <n v="453"/>
    <x v="4"/>
    <x v="0"/>
    <x v="13"/>
    <x v="0"/>
    <n v="45"/>
    <s v="Missouri"/>
    <x v="2"/>
    <x v="10"/>
    <x v="2"/>
    <x v="13"/>
    <x v="0"/>
    <x v="0"/>
    <x v="0"/>
    <x v="0"/>
    <n v="39"/>
    <x v="3"/>
    <x v="0"/>
  </r>
  <r>
    <n v="454"/>
    <x v="22"/>
    <x v="0"/>
    <x v="16"/>
    <x v="3"/>
    <n v="56"/>
    <s v="Nebraska"/>
    <x v="3"/>
    <x v="15"/>
    <x v="0"/>
    <x v="11"/>
    <x v="0"/>
    <x v="2"/>
    <x v="0"/>
    <x v="0"/>
    <n v="22"/>
    <x v="2"/>
    <x v="1"/>
  </r>
  <r>
    <n v="455"/>
    <x v="43"/>
    <x v="0"/>
    <x v="14"/>
    <x v="2"/>
    <n v="97"/>
    <s v="New Jersey"/>
    <x v="1"/>
    <x v="9"/>
    <x v="2"/>
    <x v="4"/>
    <x v="0"/>
    <x v="2"/>
    <x v="0"/>
    <x v="0"/>
    <n v="14"/>
    <x v="1"/>
    <x v="4"/>
  </r>
  <r>
    <n v="456"/>
    <x v="22"/>
    <x v="0"/>
    <x v="0"/>
    <x v="0"/>
    <n v="100"/>
    <s v="Utah"/>
    <x v="3"/>
    <x v="9"/>
    <x v="3"/>
    <x v="15"/>
    <x v="0"/>
    <x v="5"/>
    <x v="0"/>
    <x v="0"/>
    <n v="50"/>
    <x v="5"/>
    <x v="0"/>
  </r>
  <r>
    <n v="457"/>
    <x v="2"/>
    <x v="0"/>
    <x v="0"/>
    <x v="0"/>
    <n v="96"/>
    <s v="North Carolina"/>
    <x v="1"/>
    <x v="21"/>
    <x v="3"/>
    <x v="17"/>
    <x v="0"/>
    <x v="4"/>
    <x v="0"/>
    <x v="0"/>
    <n v="33"/>
    <x v="2"/>
    <x v="3"/>
  </r>
  <r>
    <n v="458"/>
    <x v="15"/>
    <x v="0"/>
    <x v="24"/>
    <x v="3"/>
    <n v="99"/>
    <s v="Rhode Island"/>
    <x v="2"/>
    <x v="24"/>
    <x v="1"/>
    <x v="8"/>
    <x v="0"/>
    <x v="2"/>
    <x v="0"/>
    <x v="0"/>
    <n v="48"/>
    <x v="5"/>
    <x v="6"/>
  </r>
  <r>
    <n v="459"/>
    <x v="36"/>
    <x v="0"/>
    <x v="6"/>
    <x v="0"/>
    <n v="91"/>
    <s v="Arkansas"/>
    <x v="0"/>
    <x v="13"/>
    <x v="0"/>
    <x v="17"/>
    <x v="0"/>
    <x v="4"/>
    <x v="0"/>
    <x v="0"/>
    <n v="48"/>
    <x v="3"/>
    <x v="5"/>
  </r>
  <r>
    <n v="460"/>
    <x v="6"/>
    <x v="0"/>
    <x v="19"/>
    <x v="3"/>
    <n v="30"/>
    <s v="Maryland"/>
    <x v="0"/>
    <x v="13"/>
    <x v="0"/>
    <x v="22"/>
    <x v="0"/>
    <x v="3"/>
    <x v="0"/>
    <x v="0"/>
    <n v="27"/>
    <x v="3"/>
    <x v="0"/>
  </r>
  <r>
    <n v="461"/>
    <x v="14"/>
    <x v="0"/>
    <x v="9"/>
    <x v="1"/>
    <n v="65"/>
    <s v="South Carolina"/>
    <x v="0"/>
    <x v="11"/>
    <x v="2"/>
    <x v="18"/>
    <x v="0"/>
    <x v="5"/>
    <x v="0"/>
    <x v="0"/>
    <n v="27"/>
    <x v="4"/>
    <x v="1"/>
  </r>
  <r>
    <n v="462"/>
    <x v="20"/>
    <x v="0"/>
    <x v="23"/>
    <x v="1"/>
    <n v="93"/>
    <s v="Ohio"/>
    <x v="2"/>
    <x v="22"/>
    <x v="0"/>
    <x v="20"/>
    <x v="0"/>
    <x v="0"/>
    <x v="0"/>
    <x v="0"/>
    <n v="20"/>
    <x v="0"/>
    <x v="1"/>
  </r>
  <r>
    <n v="463"/>
    <x v="35"/>
    <x v="0"/>
    <x v="14"/>
    <x v="2"/>
    <n v="81"/>
    <s v="Illinois"/>
    <x v="2"/>
    <x v="3"/>
    <x v="3"/>
    <x v="13"/>
    <x v="0"/>
    <x v="0"/>
    <x v="0"/>
    <x v="0"/>
    <n v="48"/>
    <x v="0"/>
    <x v="6"/>
  </r>
  <r>
    <n v="464"/>
    <x v="43"/>
    <x v="0"/>
    <x v="16"/>
    <x v="3"/>
    <n v="81"/>
    <s v="Georgia"/>
    <x v="1"/>
    <x v="20"/>
    <x v="2"/>
    <x v="2"/>
    <x v="0"/>
    <x v="3"/>
    <x v="0"/>
    <x v="0"/>
    <n v="29"/>
    <x v="0"/>
    <x v="1"/>
  </r>
  <r>
    <n v="465"/>
    <x v="51"/>
    <x v="0"/>
    <x v="12"/>
    <x v="3"/>
    <n v="52"/>
    <s v="Alabama"/>
    <x v="2"/>
    <x v="5"/>
    <x v="0"/>
    <x v="10"/>
    <x v="0"/>
    <x v="2"/>
    <x v="0"/>
    <x v="0"/>
    <n v="45"/>
    <x v="3"/>
    <x v="5"/>
  </r>
  <r>
    <n v="466"/>
    <x v="22"/>
    <x v="0"/>
    <x v="11"/>
    <x v="0"/>
    <n v="88"/>
    <s v="Oklahoma"/>
    <x v="2"/>
    <x v="6"/>
    <x v="2"/>
    <x v="11"/>
    <x v="0"/>
    <x v="2"/>
    <x v="0"/>
    <x v="0"/>
    <n v="25"/>
    <x v="1"/>
    <x v="3"/>
  </r>
  <r>
    <n v="467"/>
    <x v="21"/>
    <x v="0"/>
    <x v="2"/>
    <x v="0"/>
    <n v="24"/>
    <s v="Vermont"/>
    <x v="0"/>
    <x v="2"/>
    <x v="0"/>
    <x v="12"/>
    <x v="0"/>
    <x v="1"/>
    <x v="0"/>
    <x v="0"/>
    <n v="25"/>
    <x v="3"/>
    <x v="1"/>
  </r>
  <r>
    <n v="468"/>
    <x v="1"/>
    <x v="0"/>
    <x v="21"/>
    <x v="3"/>
    <n v="51"/>
    <s v="Nebraska"/>
    <x v="1"/>
    <x v="20"/>
    <x v="1"/>
    <x v="9"/>
    <x v="0"/>
    <x v="4"/>
    <x v="0"/>
    <x v="0"/>
    <n v="37"/>
    <x v="5"/>
    <x v="6"/>
  </r>
  <r>
    <n v="469"/>
    <x v="50"/>
    <x v="0"/>
    <x v="21"/>
    <x v="3"/>
    <n v="38"/>
    <s v="Georgia"/>
    <x v="1"/>
    <x v="15"/>
    <x v="3"/>
    <x v="16"/>
    <x v="0"/>
    <x v="1"/>
    <x v="0"/>
    <x v="0"/>
    <n v="16"/>
    <x v="1"/>
    <x v="3"/>
  </r>
  <r>
    <n v="470"/>
    <x v="3"/>
    <x v="0"/>
    <x v="6"/>
    <x v="0"/>
    <n v="46"/>
    <s v="Alabama"/>
    <x v="0"/>
    <x v="6"/>
    <x v="3"/>
    <x v="7"/>
    <x v="0"/>
    <x v="4"/>
    <x v="0"/>
    <x v="0"/>
    <n v="30"/>
    <x v="5"/>
    <x v="4"/>
  </r>
  <r>
    <n v="471"/>
    <x v="2"/>
    <x v="0"/>
    <x v="10"/>
    <x v="0"/>
    <n v="63"/>
    <s v="Minnesota"/>
    <x v="0"/>
    <x v="11"/>
    <x v="2"/>
    <x v="12"/>
    <x v="0"/>
    <x v="0"/>
    <x v="0"/>
    <x v="0"/>
    <n v="6"/>
    <x v="1"/>
    <x v="6"/>
  </r>
  <r>
    <n v="472"/>
    <x v="0"/>
    <x v="0"/>
    <x v="18"/>
    <x v="3"/>
    <n v="72"/>
    <s v="Missouri"/>
    <x v="3"/>
    <x v="3"/>
    <x v="0"/>
    <x v="8"/>
    <x v="0"/>
    <x v="4"/>
    <x v="0"/>
    <x v="0"/>
    <n v="36"/>
    <x v="4"/>
    <x v="3"/>
  </r>
  <r>
    <n v="473"/>
    <x v="30"/>
    <x v="0"/>
    <x v="2"/>
    <x v="0"/>
    <n v="39"/>
    <s v="Georgia"/>
    <x v="0"/>
    <x v="0"/>
    <x v="0"/>
    <x v="20"/>
    <x v="0"/>
    <x v="1"/>
    <x v="0"/>
    <x v="0"/>
    <n v="3"/>
    <x v="4"/>
    <x v="3"/>
  </r>
  <r>
    <n v="474"/>
    <x v="50"/>
    <x v="0"/>
    <x v="7"/>
    <x v="2"/>
    <n v="42"/>
    <s v="West Virginia"/>
    <x v="0"/>
    <x v="8"/>
    <x v="1"/>
    <x v="20"/>
    <x v="0"/>
    <x v="5"/>
    <x v="0"/>
    <x v="0"/>
    <n v="29"/>
    <x v="3"/>
    <x v="6"/>
  </r>
  <r>
    <n v="475"/>
    <x v="46"/>
    <x v="0"/>
    <x v="1"/>
    <x v="0"/>
    <n v="76"/>
    <s v="Arkansas"/>
    <x v="3"/>
    <x v="1"/>
    <x v="2"/>
    <x v="5"/>
    <x v="0"/>
    <x v="4"/>
    <x v="0"/>
    <x v="0"/>
    <n v="15"/>
    <x v="1"/>
    <x v="3"/>
  </r>
  <r>
    <n v="476"/>
    <x v="3"/>
    <x v="0"/>
    <x v="4"/>
    <x v="1"/>
    <n v="66"/>
    <s v="Ohio"/>
    <x v="0"/>
    <x v="23"/>
    <x v="2"/>
    <x v="2"/>
    <x v="0"/>
    <x v="1"/>
    <x v="0"/>
    <x v="0"/>
    <n v="18"/>
    <x v="5"/>
    <x v="2"/>
  </r>
  <r>
    <n v="477"/>
    <x v="3"/>
    <x v="0"/>
    <x v="18"/>
    <x v="3"/>
    <n v="90"/>
    <s v="Connecticut"/>
    <x v="2"/>
    <x v="23"/>
    <x v="1"/>
    <x v="1"/>
    <x v="0"/>
    <x v="1"/>
    <x v="0"/>
    <x v="0"/>
    <n v="2"/>
    <x v="5"/>
    <x v="0"/>
  </r>
  <r>
    <n v="478"/>
    <x v="32"/>
    <x v="0"/>
    <x v="1"/>
    <x v="0"/>
    <n v="56"/>
    <s v="North Dakota"/>
    <x v="2"/>
    <x v="14"/>
    <x v="2"/>
    <x v="18"/>
    <x v="0"/>
    <x v="1"/>
    <x v="0"/>
    <x v="0"/>
    <n v="49"/>
    <x v="5"/>
    <x v="1"/>
  </r>
  <r>
    <n v="479"/>
    <x v="25"/>
    <x v="0"/>
    <x v="16"/>
    <x v="3"/>
    <n v="43"/>
    <s v="Kansas"/>
    <x v="3"/>
    <x v="2"/>
    <x v="0"/>
    <x v="4"/>
    <x v="0"/>
    <x v="1"/>
    <x v="0"/>
    <x v="0"/>
    <n v="48"/>
    <x v="0"/>
    <x v="2"/>
  </r>
  <r>
    <n v="480"/>
    <x v="31"/>
    <x v="0"/>
    <x v="8"/>
    <x v="3"/>
    <n v="84"/>
    <s v="Iowa"/>
    <x v="0"/>
    <x v="22"/>
    <x v="0"/>
    <x v="13"/>
    <x v="0"/>
    <x v="5"/>
    <x v="0"/>
    <x v="0"/>
    <n v="43"/>
    <x v="0"/>
    <x v="5"/>
  </r>
  <r>
    <n v="481"/>
    <x v="33"/>
    <x v="0"/>
    <x v="15"/>
    <x v="0"/>
    <n v="88"/>
    <s v="Vermont"/>
    <x v="2"/>
    <x v="0"/>
    <x v="2"/>
    <x v="6"/>
    <x v="0"/>
    <x v="3"/>
    <x v="0"/>
    <x v="0"/>
    <n v="30"/>
    <x v="5"/>
    <x v="4"/>
  </r>
  <r>
    <n v="482"/>
    <x v="5"/>
    <x v="0"/>
    <x v="19"/>
    <x v="3"/>
    <n v="88"/>
    <s v="Wisconsin"/>
    <x v="0"/>
    <x v="15"/>
    <x v="3"/>
    <x v="4"/>
    <x v="0"/>
    <x v="4"/>
    <x v="0"/>
    <x v="0"/>
    <n v="10"/>
    <x v="3"/>
    <x v="0"/>
  </r>
  <r>
    <n v="483"/>
    <x v="38"/>
    <x v="0"/>
    <x v="22"/>
    <x v="3"/>
    <n v="42"/>
    <s v="Connecticut"/>
    <x v="2"/>
    <x v="22"/>
    <x v="0"/>
    <x v="25"/>
    <x v="0"/>
    <x v="4"/>
    <x v="0"/>
    <x v="0"/>
    <n v="11"/>
    <x v="0"/>
    <x v="2"/>
  </r>
  <r>
    <n v="484"/>
    <x v="51"/>
    <x v="0"/>
    <x v="15"/>
    <x v="0"/>
    <n v="73"/>
    <s v="Oklahoma"/>
    <x v="2"/>
    <x v="3"/>
    <x v="3"/>
    <x v="20"/>
    <x v="0"/>
    <x v="5"/>
    <x v="0"/>
    <x v="0"/>
    <n v="12"/>
    <x v="5"/>
    <x v="1"/>
  </r>
  <r>
    <n v="485"/>
    <x v="33"/>
    <x v="0"/>
    <x v="19"/>
    <x v="3"/>
    <n v="73"/>
    <s v="Missouri"/>
    <x v="0"/>
    <x v="12"/>
    <x v="2"/>
    <x v="10"/>
    <x v="0"/>
    <x v="1"/>
    <x v="0"/>
    <x v="0"/>
    <n v="28"/>
    <x v="4"/>
    <x v="3"/>
  </r>
  <r>
    <n v="486"/>
    <x v="39"/>
    <x v="0"/>
    <x v="9"/>
    <x v="1"/>
    <n v="44"/>
    <s v="Tennessee"/>
    <x v="1"/>
    <x v="24"/>
    <x v="1"/>
    <x v="5"/>
    <x v="0"/>
    <x v="2"/>
    <x v="0"/>
    <x v="0"/>
    <n v="36"/>
    <x v="5"/>
    <x v="0"/>
  </r>
  <r>
    <n v="487"/>
    <x v="21"/>
    <x v="0"/>
    <x v="3"/>
    <x v="1"/>
    <n v="63"/>
    <s v="New Mexico"/>
    <x v="2"/>
    <x v="4"/>
    <x v="3"/>
    <x v="11"/>
    <x v="0"/>
    <x v="5"/>
    <x v="0"/>
    <x v="0"/>
    <n v="37"/>
    <x v="0"/>
    <x v="6"/>
  </r>
  <r>
    <n v="488"/>
    <x v="38"/>
    <x v="0"/>
    <x v="14"/>
    <x v="2"/>
    <n v="68"/>
    <s v="Iowa"/>
    <x v="0"/>
    <x v="16"/>
    <x v="0"/>
    <x v="14"/>
    <x v="0"/>
    <x v="5"/>
    <x v="0"/>
    <x v="0"/>
    <n v="22"/>
    <x v="2"/>
    <x v="3"/>
  </r>
  <r>
    <n v="489"/>
    <x v="44"/>
    <x v="0"/>
    <x v="1"/>
    <x v="0"/>
    <n v="29"/>
    <s v="Maine"/>
    <x v="0"/>
    <x v="8"/>
    <x v="1"/>
    <x v="12"/>
    <x v="0"/>
    <x v="3"/>
    <x v="0"/>
    <x v="0"/>
    <n v="32"/>
    <x v="0"/>
    <x v="1"/>
  </r>
  <r>
    <n v="490"/>
    <x v="34"/>
    <x v="0"/>
    <x v="20"/>
    <x v="0"/>
    <n v="85"/>
    <s v="South Dakota"/>
    <x v="2"/>
    <x v="14"/>
    <x v="2"/>
    <x v="4"/>
    <x v="0"/>
    <x v="3"/>
    <x v="0"/>
    <x v="0"/>
    <n v="40"/>
    <x v="3"/>
    <x v="2"/>
  </r>
  <r>
    <n v="491"/>
    <x v="9"/>
    <x v="0"/>
    <x v="4"/>
    <x v="1"/>
    <n v="42"/>
    <s v="Colorado"/>
    <x v="2"/>
    <x v="5"/>
    <x v="0"/>
    <x v="19"/>
    <x v="0"/>
    <x v="4"/>
    <x v="0"/>
    <x v="0"/>
    <n v="47"/>
    <x v="1"/>
    <x v="5"/>
  </r>
  <r>
    <n v="492"/>
    <x v="34"/>
    <x v="0"/>
    <x v="7"/>
    <x v="2"/>
    <n v="69"/>
    <s v="Vermont"/>
    <x v="2"/>
    <x v="5"/>
    <x v="2"/>
    <x v="18"/>
    <x v="0"/>
    <x v="4"/>
    <x v="0"/>
    <x v="0"/>
    <n v="24"/>
    <x v="2"/>
    <x v="4"/>
  </r>
  <r>
    <n v="493"/>
    <x v="2"/>
    <x v="0"/>
    <x v="5"/>
    <x v="0"/>
    <n v="62"/>
    <s v="Michigan"/>
    <x v="2"/>
    <x v="13"/>
    <x v="3"/>
    <x v="20"/>
    <x v="0"/>
    <x v="3"/>
    <x v="0"/>
    <x v="0"/>
    <n v="11"/>
    <x v="5"/>
    <x v="1"/>
  </r>
  <r>
    <n v="494"/>
    <x v="48"/>
    <x v="0"/>
    <x v="21"/>
    <x v="3"/>
    <n v="48"/>
    <s v="Nevada"/>
    <x v="3"/>
    <x v="16"/>
    <x v="2"/>
    <x v="10"/>
    <x v="0"/>
    <x v="5"/>
    <x v="0"/>
    <x v="0"/>
    <n v="19"/>
    <x v="1"/>
    <x v="4"/>
  </r>
  <r>
    <n v="495"/>
    <x v="21"/>
    <x v="0"/>
    <x v="23"/>
    <x v="1"/>
    <n v="68"/>
    <s v="Indiana"/>
    <x v="2"/>
    <x v="21"/>
    <x v="0"/>
    <x v="9"/>
    <x v="0"/>
    <x v="0"/>
    <x v="0"/>
    <x v="0"/>
    <n v="42"/>
    <x v="5"/>
    <x v="1"/>
  </r>
  <r>
    <n v="496"/>
    <x v="23"/>
    <x v="0"/>
    <x v="8"/>
    <x v="3"/>
    <n v="36"/>
    <s v="Michigan"/>
    <x v="3"/>
    <x v="17"/>
    <x v="3"/>
    <x v="13"/>
    <x v="0"/>
    <x v="1"/>
    <x v="0"/>
    <x v="0"/>
    <n v="6"/>
    <x v="5"/>
    <x v="0"/>
  </r>
  <r>
    <n v="497"/>
    <x v="11"/>
    <x v="0"/>
    <x v="10"/>
    <x v="0"/>
    <n v="63"/>
    <s v="California"/>
    <x v="1"/>
    <x v="1"/>
    <x v="3"/>
    <x v="13"/>
    <x v="0"/>
    <x v="0"/>
    <x v="0"/>
    <x v="0"/>
    <n v="31"/>
    <x v="0"/>
    <x v="0"/>
  </r>
  <r>
    <n v="498"/>
    <x v="49"/>
    <x v="0"/>
    <x v="4"/>
    <x v="1"/>
    <n v="39"/>
    <s v="Oklahoma"/>
    <x v="1"/>
    <x v="5"/>
    <x v="0"/>
    <x v="12"/>
    <x v="0"/>
    <x v="1"/>
    <x v="0"/>
    <x v="0"/>
    <n v="31"/>
    <x v="1"/>
    <x v="1"/>
  </r>
  <r>
    <n v="499"/>
    <x v="49"/>
    <x v="0"/>
    <x v="23"/>
    <x v="1"/>
    <n v="78"/>
    <s v="Iowa"/>
    <x v="2"/>
    <x v="12"/>
    <x v="1"/>
    <x v="15"/>
    <x v="0"/>
    <x v="1"/>
    <x v="0"/>
    <x v="0"/>
    <n v="27"/>
    <x v="4"/>
    <x v="5"/>
  </r>
  <r>
    <n v="500"/>
    <x v="24"/>
    <x v="0"/>
    <x v="9"/>
    <x v="1"/>
    <n v="99"/>
    <s v="Rhode Island"/>
    <x v="0"/>
    <x v="5"/>
    <x v="0"/>
    <x v="6"/>
    <x v="0"/>
    <x v="0"/>
    <x v="0"/>
    <x v="0"/>
    <n v="24"/>
    <x v="3"/>
    <x v="5"/>
  </r>
  <r>
    <n v="501"/>
    <x v="24"/>
    <x v="0"/>
    <x v="17"/>
    <x v="0"/>
    <n v="31"/>
    <s v="Washington"/>
    <x v="0"/>
    <x v="7"/>
    <x v="3"/>
    <x v="6"/>
    <x v="0"/>
    <x v="2"/>
    <x v="0"/>
    <x v="0"/>
    <n v="35"/>
    <x v="0"/>
    <x v="6"/>
  </r>
  <r>
    <n v="502"/>
    <x v="14"/>
    <x v="0"/>
    <x v="23"/>
    <x v="1"/>
    <n v="45"/>
    <s v="Florida"/>
    <x v="2"/>
    <x v="17"/>
    <x v="1"/>
    <x v="3"/>
    <x v="0"/>
    <x v="2"/>
    <x v="0"/>
    <x v="0"/>
    <n v="21"/>
    <x v="0"/>
    <x v="2"/>
  </r>
  <r>
    <n v="503"/>
    <x v="35"/>
    <x v="0"/>
    <x v="13"/>
    <x v="0"/>
    <n v="30"/>
    <s v="South Carolina"/>
    <x v="1"/>
    <x v="17"/>
    <x v="3"/>
    <x v="11"/>
    <x v="0"/>
    <x v="0"/>
    <x v="0"/>
    <x v="0"/>
    <n v="8"/>
    <x v="3"/>
    <x v="0"/>
  </r>
  <r>
    <n v="504"/>
    <x v="0"/>
    <x v="0"/>
    <x v="9"/>
    <x v="1"/>
    <n v="24"/>
    <s v="West Virginia"/>
    <x v="2"/>
    <x v="12"/>
    <x v="2"/>
    <x v="4"/>
    <x v="0"/>
    <x v="2"/>
    <x v="0"/>
    <x v="0"/>
    <n v="26"/>
    <x v="4"/>
    <x v="3"/>
  </r>
  <r>
    <n v="505"/>
    <x v="32"/>
    <x v="0"/>
    <x v="9"/>
    <x v="1"/>
    <n v="22"/>
    <s v="Missouri"/>
    <x v="2"/>
    <x v="1"/>
    <x v="0"/>
    <x v="20"/>
    <x v="0"/>
    <x v="1"/>
    <x v="0"/>
    <x v="0"/>
    <n v="26"/>
    <x v="3"/>
    <x v="2"/>
  </r>
  <r>
    <n v="506"/>
    <x v="12"/>
    <x v="0"/>
    <x v="17"/>
    <x v="0"/>
    <n v="63"/>
    <s v="Maine"/>
    <x v="0"/>
    <x v="0"/>
    <x v="1"/>
    <x v="24"/>
    <x v="0"/>
    <x v="0"/>
    <x v="0"/>
    <x v="0"/>
    <n v="9"/>
    <x v="1"/>
    <x v="4"/>
  </r>
  <r>
    <n v="507"/>
    <x v="48"/>
    <x v="0"/>
    <x v="18"/>
    <x v="3"/>
    <n v="40"/>
    <s v="Georgia"/>
    <x v="2"/>
    <x v="8"/>
    <x v="3"/>
    <x v="2"/>
    <x v="0"/>
    <x v="4"/>
    <x v="0"/>
    <x v="0"/>
    <n v="48"/>
    <x v="5"/>
    <x v="2"/>
  </r>
  <r>
    <n v="508"/>
    <x v="13"/>
    <x v="0"/>
    <x v="6"/>
    <x v="0"/>
    <n v="20"/>
    <s v="Maine"/>
    <x v="2"/>
    <x v="23"/>
    <x v="1"/>
    <x v="16"/>
    <x v="0"/>
    <x v="5"/>
    <x v="0"/>
    <x v="0"/>
    <n v="33"/>
    <x v="5"/>
    <x v="0"/>
  </r>
  <r>
    <n v="509"/>
    <x v="7"/>
    <x v="0"/>
    <x v="16"/>
    <x v="3"/>
    <n v="20"/>
    <s v="Illinois"/>
    <x v="1"/>
    <x v="22"/>
    <x v="0"/>
    <x v="18"/>
    <x v="0"/>
    <x v="5"/>
    <x v="0"/>
    <x v="0"/>
    <n v="31"/>
    <x v="3"/>
    <x v="3"/>
  </r>
  <r>
    <n v="510"/>
    <x v="38"/>
    <x v="0"/>
    <x v="17"/>
    <x v="0"/>
    <n v="80"/>
    <s v="Delaware"/>
    <x v="0"/>
    <x v="17"/>
    <x v="2"/>
    <x v="20"/>
    <x v="0"/>
    <x v="1"/>
    <x v="0"/>
    <x v="0"/>
    <n v="17"/>
    <x v="5"/>
    <x v="1"/>
  </r>
  <r>
    <n v="511"/>
    <x v="3"/>
    <x v="0"/>
    <x v="5"/>
    <x v="0"/>
    <n v="87"/>
    <s v="West Virginia"/>
    <x v="2"/>
    <x v="11"/>
    <x v="3"/>
    <x v="20"/>
    <x v="0"/>
    <x v="4"/>
    <x v="0"/>
    <x v="0"/>
    <n v="22"/>
    <x v="0"/>
    <x v="2"/>
  </r>
  <r>
    <n v="512"/>
    <x v="12"/>
    <x v="0"/>
    <x v="5"/>
    <x v="0"/>
    <n v="46"/>
    <s v="Hawaii"/>
    <x v="0"/>
    <x v="22"/>
    <x v="3"/>
    <x v="0"/>
    <x v="0"/>
    <x v="1"/>
    <x v="0"/>
    <x v="0"/>
    <n v="8"/>
    <x v="3"/>
    <x v="2"/>
  </r>
  <r>
    <n v="513"/>
    <x v="1"/>
    <x v="0"/>
    <x v="24"/>
    <x v="3"/>
    <n v="49"/>
    <s v="New York"/>
    <x v="0"/>
    <x v="15"/>
    <x v="0"/>
    <x v="13"/>
    <x v="0"/>
    <x v="2"/>
    <x v="0"/>
    <x v="0"/>
    <n v="2"/>
    <x v="4"/>
    <x v="5"/>
  </r>
  <r>
    <n v="514"/>
    <x v="40"/>
    <x v="0"/>
    <x v="18"/>
    <x v="3"/>
    <n v="65"/>
    <s v="New Mexico"/>
    <x v="2"/>
    <x v="15"/>
    <x v="3"/>
    <x v="15"/>
    <x v="0"/>
    <x v="5"/>
    <x v="0"/>
    <x v="0"/>
    <n v="45"/>
    <x v="0"/>
    <x v="2"/>
  </r>
  <r>
    <n v="515"/>
    <x v="14"/>
    <x v="0"/>
    <x v="11"/>
    <x v="0"/>
    <n v="62"/>
    <s v="Indiana"/>
    <x v="1"/>
    <x v="8"/>
    <x v="0"/>
    <x v="24"/>
    <x v="0"/>
    <x v="3"/>
    <x v="0"/>
    <x v="0"/>
    <n v="47"/>
    <x v="3"/>
    <x v="3"/>
  </r>
  <r>
    <n v="516"/>
    <x v="48"/>
    <x v="0"/>
    <x v="19"/>
    <x v="3"/>
    <n v="67"/>
    <s v="Kentucky"/>
    <x v="0"/>
    <x v="4"/>
    <x v="1"/>
    <x v="9"/>
    <x v="0"/>
    <x v="2"/>
    <x v="0"/>
    <x v="0"/>
    <n v="7"/>
    <x v="1"/>
    <x v="5"/>
  </r>
  <r>
    <n v="517"/>
    <x v="50"/>
    <x v="0"/>
    <x v="15"/>
    <x v="0"/>
    <n v="41"/>
    <s v="West Virginia"/>
    <x v="0"/>
    <x v="21"/>
    <x v="3"/>
    <x v="11"/>
    <x v="0"/>
    <x v="4"/>
    <x v="0"/>
    <x v="0"/>
    <n v="19"/>
    <x v="5"/>
    <x v="4"/>
  </r>
  <r>
    <n v="518"/>
    <x v="12"/>
    <x v="0"/>
    <x v="23"/>
    <x v="1"/>
    <n v="49"/>
    <s v="North Dakota"/>
    <x v="0"/>
    <x v="5"/>
    <x v="3"/>
    <x v="2"/>
    <x v="0"/>
    <x v="1"/>
    <x v="0"/>
    <x v="0"/>
    <n v="44"/>
    <x v="1"/>
    <x v="6"/>
  </r>
  <r>
    <n v="519"/>
    <x v="41"/>
    <x v="0"/>
    <x v="0"/>
    <x v="0"/>
    <n v="100"/>
    <s v="Oregon"/>
    <x v="2"/>
    <x v="19"/>
    <x v="3"/>
    <x v="3"/>
    <x v="0"/>
    <x v="2"/>
    <x v="0"/>
    <x v="0"/>
    <n v="16"/>
    <x v="0"/>
    <x v="6"/>
  </r>
  <r>
    <n v="520"/>
    <x v="1"/>
    <x v="0"/>
    <x v="22"/>
    <x v="3"/>
    <n v="54"/>
    <s v="Minnesota"/>
    <x v="0"/>
    <x v="24"/>
    <x v="2"/>
    <x v="14"/>
    <x v="0"/>
    <x v="4"/>
    <x v="0"/>
    <x v="0"/>
    <n v="17"/>
    <x v="4"/>
    <x v="3"/>
  </r>
  <r>
    <n v="521"/>
    <x v="47"/>
    <x v="0"/>
    <x v="12"/>
    <x v="3"/>
    <n v="84"/>
    <s v="South Carolina"/>
    <x v="2"/>
    <x v="3"/>
    <x v="1"/>
    <x v="20"/>
    <x v="0"/>
    <x v="1"/>
    <x v="0"/>
    <x v="0"/>
    <n v="20"/>
    <x v="5"/>
    <x v="3"/>
  </r>
  <r>
    <n v="522"/>
    <x v="24"/>
    <x v="0"/>
    <x v="6"/>
    <x v="0"/>
    <n v="41"/>
    <s v="Vermont"/>
    <x v="0"/>
    <x v="9"/>
    <x v="0"/>
    <x v="1"/>
    <x v="0"/>
    <x v="3"/>
    <x v="0"/>
    <x v="0"/>
    <n v="50"/>
    <x v="4"/>
    <x v="2"/>
  </r>
  <r>
    <n v="523"/>
    <x v="13"/>
    <x v="0"/>
    <x v="24"/>
    <x v="3"/>
    <n v="88"/>
    <s v="Minnesota"/>
    <x v="2"/>
    <x v="24"/>
    <x v="1"/>
    <x v="25"/>
    <x v="0"/>
    <x v="5"/>
    <x v="0"/>
    <x v="0"/>
    <n v="37"/>
    <x v="1"/>
    <x v="3"/>
  </r>
  <r>
    <n v="524"/>
    <x v="5"/>
    <x v="0"/>
    <x v="3"/>
    <x v="1"/>
    <n v="40"/>
    <s v="Delaware"/>
    <x v="2"/>
    <x v="20"/>
    <x v="1"/>
    <x v="8"/>
    <x v="0"/>
    <x v="0"/>
    <x v="0"/>
    <x v="0"/>
    <n v="5"/>
    <x v="3"/>
    <x v="3"/>
  </r>
  <r>
    <n v="525"/>
    <x v="35"/>
    <x v="0"/>
    <x v="5"/>
    <x v="0"/>
    <n v="39"/>
    <s v="Pennsylvania"/>
    <x v="2"/>
    <x v="9"/>
    <x v="2"/>
    <x v="6"/>
    <x v="0"/>
    <x v="1"/>
    <x v="0"/>
    <x v="0"/>
    <n v="44"/>
    <x v="3"/>
    <x v="2"/>
  </r>
  <r>
    <n v="526"/>
    <x v="47"/>
    <x v="0"/>
    <x v="7"/>
    <x v="2"/>
    <n v="37"/>
    <s v="Iowa"/>
    <x v="2"/>
    <x v="17"/>
    <x v="1"/>
    <x v="4"/>
    <x v="0"/>
    <x v="2"/>
    <x v="0"/>
    <x v="0"/>
    <n v="41"/>
    <x v="5"/>
    <x v="5"/>
  </r>
  <r>
    <n v="527"/>
    <x v="47"/>
    <x v="0"/>
    <x v="13"/>
    <x v="0"/>
    <n v="52"/>
    <s v="New Jersey"/>
    <x v="1"/>
    <x v="16"/>
    <x v="0"/>
    <x v="8"/>
    <x v="0"/>
    <x v="3"/>
    <x v="0"/>
    <x v="0"/>
    <n v="19"/>
    <x v="1"/>
    <x v="5"/>
  </r>
  <r>
    <n v="528"/>
    <x v="3"/>
    <x v="0"/>
    <x v="17"/>
    <x v="0"/>
    <n v="23"/>
    <s v="South Carolina"/>
    <x v="0"/>
    <x v="22"/>
    <x v="0"/>
    <x v="24"/>
    <x v="0"/>
    <x v="2"/>
    <x v="0"/>
    <x v="0"/>
    <n v="47"/>
    <x v="4"/>
    <x v="6"/>
  </r>
  <r>
    <n v="529"/>
    <x v="50"/>
    <x v="0"/>
    <x v="4"/>
    <x v="1"/>
    <n v="88"/>
    <s v="Maryland"/>
    <x v="1"/>
    <x v="19"/>
    <x v="0"/>
    <x v="4"/>
    <x v="0"/>
    <x v="0"/>
    <x v="0"/>
    <x v="0"/>
    <n v="40"/>
    <x v="1"/>
    <x v="2"/>
  </r>
  <r>
    <n v="530"/>
    <x v="45"/>
    <x v="0"/>
    <x v="6"/>
    <x v="0"/>
    <n v="84"/>
    <s v="California"/>
    <x v="2"/>
    <x v="20"/>
    <x v="3"/>
    <x v="18"/>
    <x v="0"/>
    <x v="3"/>
    <x v="0"/>
    <x v="0"/>
    <n v="6"/>
    <x v="2"/>
    <x v="5"/>
  </r>
  <r>
    <n v="531"/>
    <x v="39"/>
    <x v="0"/>
    <x v="7"/>
    <x v="2"/>
    <n v="37"/>
    <s v="Montana"/>
    <x v="3"/>
    <x v="23"/>
    <x v="0"/>
    <x v="4"/>
    <x v="0"/>
    <x v="5"/>
    <x v="0"/>
    <x v="0"/>
    <n v="25"/>
    <x v="2"/>
    <x v="4"/>
  </r>
  <r>
    <n v="532"/>
    <x v="2"/>
    <x v="0"/>
    <x v="3"/>
    <x v="1"/>
    <n v="51"/>
    <s v="Vermont"/>
    <x v="0"/>
    <x v="7"/>
    <x v="3"/>
    <x v="23"/>
    <x v="0"/>
    <x v="2"/>
    <x v="0"/>
    <x v="0"/>
    <n v="42"/>
    <x v="1"/>
    <x v="1"/>
  </r>
  <r>
    <n v="533"/>
    <x v="8"/>
    <x v="0"/>
    <x v="13"/>
    <x v="0"/>
    <n v="76"/>
    <s v="Texas"/>
    <x v="0"/>
    <x v="13"/>
    <x v="0"/>
    <x v="7"/>
    <x v="0"/>
    <x v="0"/>
    <x v="0"/>
    <x v="0"/>
    <n v="35"/>
    <x v="4"/>
    <x v="6"/>
  </r>
  <r>
    <n v="534"/>
    <x v="9"/>
    <x v="0"/>
    <x v="3"/>
    <x v="1"/>
    <n v="60"/>
    <s v="North Carolina"/>
    <x v="0"/>
    <x v="6"/>
    <x v="1"/>
    <x v="9"/>
    <x v="0"/>
    <x v="2"/>
    <x v="0"/>
    <x v="0"/>
    <n v="17"/>
    <x v="5"/>
    <x v="1"/>
  </r>
  <r>
    <n v="535"/>
    <x v="13"/>
    <x v="0"/>
    <x v="24"/>
    <x v="3"/>
    <n v="72"/>
    <s v="Florida"/>
    <x v="0"/>
    <x v="6"/>
    <x v="3"/>
    <x v="9"/>
    <x v="0"/>
    <x v="2"/>
    <x v="0"/>
    <x v="0"/>
    <n v="4"/>
    <x v="3"/>
    <x v="3"/>
  </r>
  <r>
    <n v="536"/>
    <x v="19"/>
    <x v="0"/>
    <x v="17"/>
    <x v="0"/>
    <n v="45"/>
    <s v="West Virginia"/>
    <x v="0"/>
    <x v="1"/>
    <x v="1"/>
    <x v="4"/>
    <x v="0"/>
    <x v="1"/>
    <x v="0"/>
    <x v="0"/>
    <n v="24"/>
    <x v="4"/>
    <x v="1"/>
  </r>
  <r>
    <n v="537"/>
    <x v="42"/>
    <x v="0"/>
    <x v="14"/>
    <x v="2"/>
    <n v="84"/>
    <s v="Illinois"/>
    <x v="1"/>
    <x v="1"/>
    <x v="3"/>
    <x v="14"/>
    <x v="0"/>
    <x v="5"/>
    <x v="0"/>
    <x v="0"/>
    <n v="16"/>
    <x v="5"/>
    <x v="6"/>
  </r>
  <r>
    <n v="538"/>
    <x v="2"/>
    <x v="0"/>
    <x v="0"/>
    <x v="0"/>
    <n v="49"/>
    <s v="Virginia"/>
    <x v="1"/>
    <x v="2"/>
    <x v="2"/>
    <x v="21"/>
    <x v="0"/>
    <x v="5"/>
    <x v="0"/>
    <x v="0"/>
    <n v="14"/>
    <x v="5"/>
    <x v="2"/>
  </r>
  <r>
    <n v="539"/>
    <x v="7"/>
    <x v="0"/>
    <x v="20"/>
    <x v="0"/>
    <n v="22"/>
    <s v="Virginia"/>
    <x v="3"/>
    <x v="14"/>
    <x v="1"/>
    <x v="4"/>
    <x v="0"/>
    <x v="1"/>
    <x v="0"/>
    <x v="0"/>
    <n v="43"/>
    <x v="1"/>
    <x v="1"/>
  </r>
  <r>
    <n v="540"/>
    <x v="34"/>
    <x v="0"/>
    <x v="7"/>
    <x v="2"/>
    <n v="48"/>
    <s v="Wyoming"/>
    <x v="2"/>
    <x v="10"/>
    <x v="0"/>
    <x v="17"/>
    <x v="0"/>
    <x v="5"/>
    <x v="0"/>
    <x v="0"/>
    <n v="49"/>
    <x v="5"/>
    <x v="1"/>
  </r>
  <r>
    <n v="541"/>
    <x v="34"/>
    <x v="0"/>
    <x v="10"/>
    <x v="0"/>
    <n v="37"/>
    <s v="South Carolina"/>
    <x v="2"/>
    <x v="12"/>
    <x v="1"/>
    <x v="0"/>
    <x v="0"/>
    <x v="2"/>
    <x v="0"/>
    <x v="0"/>
    <n v="33"/>
    <x v="1"/>
    <x v="6"/>
  </r>
  <r>
    <n v="542"/>
    <x v="16"/>
    <x v="0"/>
    <x v="14"/>
    <x v="2"/>
    <n v="27"/>
    <s v="Connecticut"/>
    <x v="0"/>
    <x v="0"/>
    <x v="3"/>
    <x v="11"/>
    <x v="0"/>
    <x v="2"/>
    <x v="0"/>
    <x v="0"/>
    <n v="45"/>
    <x v="1"/>
    <x v="4"/>
  </r>
  <r>
    <n v="543"/>
    <x v="7"/>
    <x v="0"/>
    <x v="23"/>
    <x v="1"/>
    <n v="79"/>
    <s v="Illinois"/>
    <x v="3"/>
    <x v="11"/>
    <x v="1"/>
    <x v="12"/>
    <x v="0"/>
    <x v="2"/>
    <x v="0"/>
    <x v="0"/>
    <n v="35"/>
    <x v="1"/>
    <x v="4"/>
  </r>
  <r>
    <n v="544"/>
    <x v="10"/>
    <x v="0"/>
    <x v="11"/>
    <x v="0"/>
    <n v="98"/>
    <s v="Alabama"/>
    <x v="1"/>
    <x v="16"/>
    <x v="1"/>
    <x v="24"/>
    <x v="0"/>
    <x v="0"/>
    <x v="0"/>
    <x v="0"/>
    <n v="11"/>
    <x v="2"/>
    <x v="5"/>
  </r>
  <r>
    <n v="545"/>
    <x v="50"/>
    <x v="0"/>
    <x v="3"/>
    <x v="1"/>
    <n v="64"/>
    <s v="Washington"/>
    <x v="1"/>
    <x v="22"/>
    <x v="2"/>
    <x v="13"/>
    <x v="0"/>
    <x v="3"/>
    <x v="0"/>
    <x v="0"/>
    <n v="30"/>
    <x v="4"/>
    <x v="6"/>
  </r>
  <r>
    <n v="546"/>
    <x v="23"/>
    <x v="0"/>
    <x v="7"/>
    <x v="2"/>
    <n v="32"/>
    <s v="Alabama"/>
    <x v="0"/>
    <x v="23"/>
    <x v="2"/>
    <x v="1"/>
    <x v="0"/>
    <x v="4"/>
    <x v="0"/>
    <x v="0"/>
    <n v="48"/>
    <x v="5"/>
    <x v="2"/>
  </r>
  <r>
    <n v="547"/>
    <x v="46"/>
    <x v="0"/>
    <x v="15"/>
    <x v="0"/>
    <n v="74"/>
    <s v="New Mexico"/>
    <x v="2"/>
    <x v="18"/>
    <x v="0"/>
    <x v="23"/>
    <x v="0"/>
    <x v="1"/>
    <x v="0"/>
    <x v="0"/>
    <n v="45"/>
    <x v="0"/>
    <x v="4"/>
  </r>
  <r>
    <n v="548"/>
    <x v="21"/>
    <x v="0"/>
    <x v="14"/>
    <x v="2"/>
    <n v="50"/>
    <s v="Nevada"/>
    <x v="2"/>
    <x v="24"/>
    <x v="0"/>
    <x v="11"/>
    <x v="0"/>
    <x v="1"/>
    <x v="0"/>
    <x v="0"/>
    <n v="26"/>
    <x v="0"/>
    <x v="1"/>
  </r>
  <r>
    <n v="549"/>
    <x v="24"/>
    <x v="0"/>
    <x v="21"/>
    <x v="3"/>
    <n v="64"/>
    <s v="Nebraska"/>
    <x v="2"/>
    <x v="13"/>
    <x v="0"/>
    <x v="12"/>
    <x v="0"/>
    <x v="5"/>
    <x v="0"/>
    <x v="0"/>
    <n v="41"/>
    <x v="5"/>
    <x v="6"/>
  </r>
  <r>
    <n v="550"/>
    <x v="18"/>
    <x v="0"/>
    <x v="21"/>
    <x v="3"/>
    <n v="29"/>
    <s v="Arizona"/>
    <x v="1"/>
    <x v="8"/>
    <x v="3"/>
    <x v="15"/>
    <x v="0"/>
    <x v="0"/>
    <x v="0"/>
    <x v="0"/>
    <n v="37"/>
    <x v="0"/>
    <x v="4"/>
  </r>
  <r>
    <n v="551"/>
    <x v="46"/>
    <x v="0"/>
    <x v="22"/>
    <x v="3"/>
    <n v="62"/>
    <s v="Georgia"/>
    <x v="2"/>
    <x v="8"/>
    <x v="2"/>
    <x v="13"/>
    <x v="0"/>
    <x v="5"/>
    <x v="0"/>
    <x v="0"/>
    <n v="12"/>
    <x v="3"/>
    <x v="1"/>
  </r>
  <r>
    <n v="552"/>
    <x v="26"/>
    <x v="0"/>
    <x v="7"/>
    <x v="2"/>
    <n v="78"/>
    <s v="Idaho"/>
    <x v="3"/>
    <x v="14"/>
    <x v="3"/>
    <x v="0"/>
    <x v="0"/>
    <x v="4"/>
    <x v="0"/>
    <x v="0"/>
    <n v="27"/>
    <x v="1"/>
    <x v="4"/>
  </r>
  <r>
    <n v="553"/>
    <x v="41"/>
    <x v="0"/>
    <x v="17"/>
    <x v="0"/>
    <n v="94"/>
    <s v="Missouri"/>
    <x v="2"/>
    <x v="15"/>
    <x v="3"/>
    <x v="1"/>
    <x v="0"/>
    <x v="0"/>
    <x v="0"/>
    <x v="0"/>
    <n v="18"/>
    <x v="4"/>
    <x v="1"/>
  </r>
  <r>
    <n v="554"/>
    <x v="6"/>
    <x v="0"/>
    <x v="12"/>
    <x v="3"/>
    <n v="59"/>
    <s v="Florida"/>
    <x v="2"/>
    <x v="3"/>
    <x v="0"/>
    <x v="4"/>
    <x v="0"/>
    <x v="0"/>
    <x v="0"/>
    <x v="0"/>
    <n v="15"/>
    <x v="2"/>
    <x v="3"/>
  </r>
  <r>
    <n v="555"/>
    <x v="19"/>
    <x v="0"/>
    <x v="4"/>
    <x v="1"/>
    <n v="47"/>
    <s v="Minnesota"/>
    <x v="2"/>
    <x v="16"/>
    <x v="2"/>
    <x v="21"/>
    <x v="0"/>
    <x v="0"/>
    <x v="0"/>
    <x v="0"/>
    <n v="34"/>
    <x v="4"/>
    <x v="1"/>
  </r>
  <r>
    <n v="556"/>
    <x v="6"/>
    <x v="0"/>
    <x v="24"/>
    <x v="3"/>
    <n v="57"/>
    <s v="Maine"/>
    <x v="2"/>
    <x v="3"/>
    <x v="3"/>
    <x v="6"/>
    <x v="0"/>
    <x v="0"/>
    <x v="0"/>
    <x v="0"/>
    <n v="37"/>
    <x v="0"/>
    <x v="2"/>
  </r>
  <r>
    <n v="557"/>
    <x v="37"/>
    <x v="0"/>
    <x v="7"/>
    <x v="2"/>
    <n v="90"/>
    <s v="Montana"/>
    <x v="0"/>
    <x v="21"/>
    <x v="0"/>
    <x v="16"/>
    <x v="0"/>
    <x v="5"/>
    <x v="0"/>
    <x v="0"/>
    <n v="21"/>
    <x v="1"/>
    <x v="0"/>
  </r>
  <r>
    <n v="558"/>
    <x v="20"/>
    <x v="0"/>
    <x v="5"/>
    <x v="0"/>
    <n v="60"/>
    <s v="Alaska"/>
    <x v="2"/>
    <x v="3"/>
    <x v="1"/>
    <x v="3"/>
    <x v="0"/>
    <x v="1"/>
    <x v="0"/>
    <x v="0"/>
    <n v="31"/>
    <x v="5"/>
    <x v="1"/>
  </r>
  <r>
    <n v="559"/>
    <x v="2"/>
    <x v="0"/>
    <x v="4"/>
    <x v="1"/>
    <n v="77"/>
    <s v="Iowa"/>
    <x v="0"/>
    <x v="11"/>
    <x v="3"/>
    <x v="4"/>
    <x v="0"/>
    <x v="0"/>
    <x v="0"/>
    <x v="0"/>
    <n v="43"/>
    <x v="5"/>
    <x v="6"/>
  </r>
  <r>
    <n v="560"/>
    <x v="17"/>
    <x v="0"/>
    <x v="18"/>
    <x v="3"/>
    <n v="41"/>
    <s v="Arizona"/>
    <x v="2"/>
    <x v="21"/>
    <x v="3"/>
    <x v="3"/>
    <x v="0"/>
    <x v="5"/>
    <x v="0"/>
    <x v="0"/>
    <n v="22"/>
    <x v="4"/>
    <x v="5"/>
  </r>
  <r>
    <n v="561"/>
    <x v="15"/>
    <x v="0"/>
    <x v="16"/>
    <x v="3"/>
    <n v="48"/>
    <s v="Louisiana"/>
    <x v="0"/>
    <x v="16"/>
    <x v="3"/>
    <x v="13"/>
    <x v="0"/>
    <x v="1"/>
    <x v="0"/>
    <x v="0"/>
    <n v="12"/>
    <x v="5"/>
    <x v="2"/>
  </r>
  <r>
    <n v="562"/>
    <x v="13"/>
    <x v="0"/>
    <x v="14"/>
    <x v="2"/>
    <n v="65"/>
    <s v="Alabama"/>
    <x v="2"/>
    <x v="24"/>
    <x v="3"/>
    <x v="5"/>
    <x v="0"/>
    <x v="2"/>
    <x v="0"/>
    <x v="0"/>
    <n v="25"/>
    <x v="3"/>
    <x v="0"/>
  </r>
  <r>
    <n v="563"/>
    <x v="10"/>
    <x v="0"/>
    <x v="2"/>
    <x v="0"/>
    <n v="62"/>
    <s v="Missouri"/>
    <x v="2"/>
    <x v="24"/>
    <x v="2"/>
    <x v="1"/>
    <x v="0"/>
    <x v="3"/>
    <x v="0"/>
    <x v="0"/>
    <n v="40"/>
    <x v="5"/>
    <x v="2"/>
  </r>
  <r>
    <n v="564"/>
    <x v="12"/>
    <x v="0"/>
    <x v="9"/>
    <x v="1"/>
    <n v="99"/>
    <s v="Idaho"/>
    <x v="2"/>
    <x v="13"/>
    <x v="3"/>
    <x v="14"/>
    <x v="0"/>
    <x v="3"/>
    <x v="0"/>
    <x v="0"/>
    <n v="16"/>
    <x v="5"/>
    <x v="3"/>
  </r>
  <r>
    <n v="565"/>
    <x v="29"/>
    <x v="0"/>
    <x v="15"/>
    <x v="0"/>
    <n v="58"/>
    <s v="Florida"/>
    <x v="2"/>
    <x v="8"/>
    <x v="0"/>
    <x v="23"/>
    <x v="0"/>
    <x v="2"/>
    <x v="0"/>
    <x v="0"/>
    <n v="30"/>
    <x v="4"/>
    <x v="1"/>
  </r>
  <r>
    <n v="566"/>
    <x v="35"/>
    <x v="0"/>
    <x v="21"/>
    <x v="3"/>
    <n v="43"/>
    <s v="Idaho"/>
    <x v="0"/>
    <x v="12"/>
    <x v="3"/>
    <x v="19"/>
    <x v="0"/>
    <x v="5"/>
    <x v="0"/>
    <x v="0"/>
    <n v="10"/>
    <x v="0"/>
    <x v="1"/>
  </r>
  <r>
    <n v="567"/>
    <x v="0"/>
    <x v="0"/>
    <x v="4"/>
    <x v="1"/>
    <n v="93"/>
    <s v="Alabama"/>
    <x v="2"/>
    <x v="21"/>
    <x v="1"/>
    <x v="15"/>
    <x v="0"/>
    <x v="5"/>
    <x v="0"/>
    <x v="0"/>
    <n v="1"/>
    <x v="5"/>
    <x v="0"/>
  </r>
  <r>
    <n v="568"/>
    <x v="3"/>
    <x v="0"/>
    <x v="0"/>
    <x v="0"/>
    <n v="50"/>
    <s v="New Hampshire"/>
    <x v="1"/>
    <x v="16"/>
    <x v="0"/>
    <x v="21"/>
    <x v="0"/>
    <x v="2"/>
    <x v="0"/>
    <x v="0"/>
    <n v="24"/>
    <x v="0"/>
    <x v="0"/>
  </r>
  <r>
    <n v="569"/>
    <x v="42"/>
    <x v="0"/>
    <x v="13"/>
    <x v="0"/>
    <n v="88"/>
    <s v="Utah"/>
    <x v="0"/>
    <x v="16"/>
    <x v="2"/>
    <x v="17"/>
    <x v="0"/>
    <x v="1"/>
    <x v="0"/>
    <x v="0"/>
    <n v="36"/>
    <x v="3"/>
    <x v="5"/>
  </r>
  <r>
    <n v="570"/>
    <x v="13"/>
    <x v="0"/>
    <x v="11"/>
    <x v="0"/>
    <n v="33"/>
    <s v="Alabama"/>
    <x v="2"/>
    <x v="6"/>
    <x v="3"/>
    <x v="14"/>
    <x v="0"/>
    <x v="0"/>
    <x v="0"/>
    <x v="0"/>
    <n v="46"/>
    <x v="2"/>
    <x v="6"/>
  </r>
  <r>
    <n v="571"/>
    <x v="13"/>
    <x v="0"/>
    <x v="17"/>
    <x v="0"/>
    <n v="99"/>
    <s v="Iowa"/>
    <x v="3"/>
    <x v="7"/>
    <x v="3"/>
    <x v="7"/>
    <x v="0"/>
    <x v="3"/>
    <x v="0"/>
    <x v="0"/>
    <n v="20"/>
    <x v="1"/>
    <x v="2"/>
  </r>
  <r>
    <n v="572"/>
    <x v="22"/>
    <x v="0"/>
    <x v="14"/>
    <x v="2"/>
    <n v="76"/>
    <s v="Kentucky"/>
    <x v="3"/>
    <x v="17"/>
    <x v="1"/>
    <x v="15"/>
    <x v="0"/>
    <x v="1"/>
    <x v="0"/>
    <x v="0"/>
    <n v="37"/>
    <x v="0"/>
    <x v="1"/>
  </r>
  <r>
    <n v="573"/>
    <x v="19"/>
    <x v="0"/>
    <x v="18"/>
    <x v="3"/>
    <n v="97"/>
    <s v="South Carolina"/>
    <x v="3"/>
    <x v="17"/>
    <x v="2"/>
    <x v="12"/>
    <x v="0"/>
    <x v="2"/>
    <x v="0"/>
    <x v="0"/>
    <n v="26"/>
    <x v="4"/>
    <x v="2"/>
  </r>
  <r>
    <n v="574"/>
    <x v="44"/>
    <x v="0"/>
    <x v="13"/>
    <x v="0"/>
    <n v="68"/>
    <s v="California"/>
    <x v="2"/>
    <x v="4"/>
    <x v="2"/>
    <x v="4"/>
    <x v="0"/>
    <x v="4"/>
    <x v="0"/>
    <x v="0"/>
    <n v="23"/>
    <x v="2"/>
    <x v="4"/>
  </r>
  <r>
    <n v="575"/>
    <x v="22"/>
    <x v="0"/>
    <x v="4"/>
    <x v="1"/>
    <n v="79"/>
    <s v="Maine"/>
    <x v="0"/>
    <x v="16"/>
    <x v="3"/>
    <x v="6"/>
    <x v="0"/>
    <x v="1"/>
    <x v="0"/>
    <x v="0"/>
    <n v="20"/>
    <x v="4"/>
    <x v="4"/>
  </r>
  <r>
    <n v="576"/>
    <x v="44"/>
    <x v="0"/>
    <x v="2"/>
    <x v="0"/>
    <n v="86"/>
    <s v="Nebraska"/>
    <x v="2"/>
    <x v="15"/>
    <x v="3"/>
    <x v="6"/>
    <x v="0"/>
    <x v="0"/>
    <x v="0"/>
    <x v="0"/>
    <n v="38"/>
    <x v="3"/>
    <x v="5"/>
  </r>
  <r>
    <n v="577"/>
    <x v="39"/>
    <x v="0"/>
    <x v="19"/>
    <x v="3"/>
    <n v="68"/>
    <s v="Washington"/>
    <x v="2"/>
    <x v="13"/>
    <x v="0"/>
    <x v="16"/>
    <x v="0"/>
    <x v="4"/>
    <x v="0"/>
    <x v="0"/>
    <n v="5"/>
    <x v="2"/>
    <x v="6"/>
  </r>
  <r>
    <n v="578"/>
    <x v="1"/>
    <x v="0"/>
    <x v="11"/>
    <x v="0"/>
    <n v="52"/>
    <s v="Alabama"/>
    <x v="2"/>
    <x v="13"/>
    <x v="3"/>
    <x v="18"/>
    <x v="0"/>
    <x v="5"/>
    <x v="0"/>
    <x v="0"/>
    <n v="41"/>
    <x v="0"/>
    <x v="2"/>
  </r>
  <r>
    <n v="579"/>
    <x v="28"/>
    <x v="0"/>
    <x v="3"/>
    <x v="1"/>
    <n v="90"/>
    <s v="Maine"/>
    <x v="2"/>
    <x v="7"/>
    <x v="3"/>
    <x v="12"/>
    <x v="0"/>
    <x v="2"/>
    <x v="0"/>
    <x v="0"/>
    <n v="22"/>
    <x v="2"/>
    <x v="0"/>
  </r>
  <r>
    <n v="580"/>
    <x v="44"/>
    <x v="0"/>
    <x v="3"/>
    <x v="1"/>
    <n v="41"/>
    <s v="California"/>
    <x v="2"/>
    <x v="10"/>
    <x v="0"/>
    <x v="18"/>
    <x v="0"/>
    <x v="1"/>
    <x v="0"/>
    <x v="0"/>
    <n v="48"/>
    <x v="2"/>
    <x v="2"/>
  </r>
  <r>
    <n v="581"/>
    <x v="34"/>
    <x v="0"/>
    <x v="1"/>
    <x v="0"/>
    <n v="80"/>
    <s v="Iowa"/>
    <x v="2"/>
    <x v="20"/>
    <x v="1"/>
    <x v="7"/>
    <x v="0"/>
    <x v="1"/>
    <x v="0"/>
    <x v="0"/>
    <n v="10"/>
    <x v="3"/>
    <x v="1"/>
  </r>
  <r>
    <n v="582"/>
    <x v="45"/>
    <x v="0"/>
    <x v="1"/>
    <x v="0"/>
    <n v="100"/>
    <s v="Iowa"/>
    <x v="3"/>
    <x v="4"/>
    <x v="0"/>
    <x v="2"/>
    <x v="0"/>
    <x v="5"/>
    <x v="0"/>
    <x v="0"/>
    <n v="12"/>
    <x v="4"/>
    <x v="6"/>
  </r>
  <r>
    <n v="583"/>
    <x v="37"/>
    <x v="0"/>
    <x v="14"/>
    <x v="2"/>
    <n v="77"/>
    <s v="Colorado"/>
    <x v="0"/>
    <x v="2"/>
    <x v="1"/>
    <x v="8"/>
    <x v="0"/>
    <x v="5"/>
    <x v="0"/>
    <x v="0"/>
    <n v="2"/>
    <x v="4"/>
    <x v="3"/>
  </r>
  <r>
    <n v="584"/>
    <x v="15"/>
    <x v="0"/>
    <x v="6"/>
    <x v="0"/>
    <n v="78"/>
    <s v="California"/>
    <x v="0"/>
    <x v="22"/>
    <x v="1"/>
    <x v="17"/>
    <x v="0"/>
    <x v="5"/>
    <x v="0"/>
    <x v="0"/>
    <n v="38"/>
    <x v="3"/>
    <x v="5"/>
  </r>
  <r>
    <n v="585"/>
    <x v="27"/>
    <x v="0"/>
    <x v="20"/>
    <x v="0"/>
    <n v="94"/>
    <s v="Indiana"/>
    <x v="2"/>
    <x v="3"/>
    <x v="1"/>
    <x v="10"/>
    <x v="0"/>
    <x v="1"/>
    <x v="0"/>
    <x v="0"/>
    <n v="20"/>
    <x v="5"/>
    <x v="5"/>
  </r>
  <r>
    <n v="586"/>
    <x v="28"/>
    <x v="0"/>
    <x v="20"/>
    <x v="0"/>
    <n v="23"/>
    <s v="South Carolina"/>
    <x v="2"/>
    <x v="0"/>
    <x v="3"/>
    <x v="11"/>
    <x v="0"/>
    <x v="2"/>
    <x v="0"/>
    <x v="0"/>
    <n v="5"/>
    <x v="1"/>
    <x v="6"/>
  </r>
  <r>
    <n v="587"/>
    <x v="4"/>
    <x v="0"/>
    <x v="15"/>
    <x v="0"/>
    <n v="20"/>
    <s v="Wisconsin"/>
    <x v="1"/>
    <x v="24"/>
    <x v="0"/>
    <x v="8"/>
    <x v="0"/>
    <x v="4"/>
    <x v="0"/>
    <x v="0"/>
    <n v="9"/>
    <x v="0"/>
    <x v="2"/>
  </r>
  <r>
    <n v="588"/>
    <x v="26"/>
    <x v="0"/>
    <x v="20"/>
    <x v="0"/>
    <n v="86"/>
    <s v="Washington"/>
    <x v="1"/>
    <x v="1"/>
    <x v="3"/>
    <x v="19"/>
    <x v="0"/>
    <x v="0"/>
    <x v="0"/>
    <x v="0"/>
    <n v="48"/>
    <x v="5"/>
    <x v="6"/>
  </r>
  <r>
    <n v="589"/>
    <x v="36"/>
    <x v="0"/>
    <x v="23"/>
    <x v="1"/>
    <n v="60"/>
    <s v="South Dakota"/>
    <x v="2"/>
    <x v="10"/>
    <x v="3"/>
    <x v="21"/>
    <x v="0"/>
    <x v="3"/>
    <x v="0"/>
    <x v="0"/>
    <n v="9"/>
    <x v="5"/>
    <x v="3"/>
  </r>
  <r>
    <n v="590"/>
    <x v="48"/>
    <x v="0"/>
    <x v="5"/>
    <x v="0"/>
    <n v="70"/>
    <s v="Minnesota"/>
    <x v="2"/>
    <x v="20"/>
    <x v="3"/>
    <x v="23"/>
    <x v="0"/>
    <x v="4"/>
    <x v="0"/>
    <x v="0"/>
    <n v="40"/>
    <x v="3"/>
    <x v="2"/>
  </r>
  <r>
    <n v="591"/>
    <x v="14"/>
    <x v="0"/>
    <x v="22"/>
    <x v="3"/>
    <n v="39"/>
    <s v="Alaska"/>
    <x v="1"/>
    <x v="2"/>
    <x v="3"/>
    <x v="12"/>
    <x v="0"/>
    <x v="3"/>
    <x v="0"/>
    <x v="0"/>
    <n v="30"/>
    <x v="0"/>
    <x v="0"/>
  </r>
  <r>
    <n v="592"/>
    <x v="36"/>
    <x v="0"/>
    <x v="21"/>
    <x v="3"/>
    <n v="37"/>
    <s v="Kentucky"/>
    <x v="0"/>
    <x v="8"/>
    <x v="3"/>
    <x v="19"/>
    <x v="0"/>
    <x v="5"/>
    <x v="0"/>
    <x v="0"/>
    <n v="6"/>
    <x v="5"/>
    <x v="4"/>
  </r>
  <r>
    <n v="593"/>
    <x v="52"/>
    <x v="0"/>
    <x v="23"/>
    <x v="1"/>
    <n v="29"/>
    <s v="North Dakota"/>
    <x v="2"/>
    <x v="18"/>
    <x v="3"/>
    <x v="4"/>
    <x v="0"/>
    <x v="1"/>
    <x v="0"/>
    <x v="0"/>
    <n v="42"/>
    <x v="0"/>
    <x v="6"/>
  </r>
  <r>
    <n v="594"/>
    <x v="29"/>
    <x v="0"/>
    <x v="7"/>
    <x v="2"/>
    <n v="35"/>
    <s v="Alaska"/>
    <x v="1"/>
    <x v="14"/>
    <x v="0"/>
    <x v="14"/>
    <x v="0"/>
    <x v="5"/>
    <x v="0"/>
    <x v="0"/>
    <n v="9"/>
    <x v="3"/>
    <x v="6"/>
  </r>
  <r>
    <n v="595"/>
    <x v="25"/>
    <x v="0"/>
    <x v="15"/>
    <x v="0"/>
    <n v="83"/>
    <s v="Oklahoma"/>
    <x v="1"/>
    <x v="18"/>
    <x v="0"/>
    <x v="25"/>
    <x v="0"/>
    <x v="2"/>
    <x v="0"/>
    <x v="0"/>
    <n v="6"/>
    <x v="5"/>
    <x v="5"/>
  </r>
  <r>
    <n v="596"/>
    <x v="11"/>
    <x v="0"/>
    <x v="9"/>
    <x v="1"/>
    <n v="77"/>
    <s v="Delaware"/>
    <x v="2"/>
    <x v="5"/>
    <x v="2"/>
    <x v="15"/>
    <x v="0"/>
    <x v="2"/>
    <x v="0"/>
    <x v="0"/>
    <n v="47"/>
    <x v="3"/>
    <x v="3"/>
  </r>
  <r>
    <n v="597"/>
    <x v="51"/>
    <x v="0"/>
    <x v="9"/>
    <x v="1"/>
    <n v="37"/>
    <s v="Montana"/>
    <x v="3"/>
    <x v="3"/>
    <x v="2"/>
    <x v="9"/>
    <x v="0"/>
    <x v="5"/>
    <x v="0"/>
    <x v="0"/>
    <n v="36"/>
    <x v="0"/>
    <x v="2"/>
  </r>
  <r>
    <n v="598"/>
    <x v="27"/>
    <x v="0"/>
    <x v="16"/>
    <x v="3"/>
    <n v="69"/>
    <s v="Alaska"/>
    <x v="0"/>
    <x v="9"/>
    <x v="2"/>
    <x v="23"/>
    <x v="0"/>
    <x v="3"/>
    <x v="0"/>
    <x v="0"/>
    <n v="19"/>
    <x v="4"/>
    <x v="0"/>
  </r>
  <r>
    <n v="599"/>
    <x v="3"/>
    <x v="0"/>
    <x v="10"/>
    <x v="0"/>
    <n v="66"/>
    <s v="California"/>
    <x v="0"/>
    <x v="14"/>
    <x v="0"/>
    <x v="4"/>
    <x v="0"/>
    <x v="4"/>
    <x v="0"/>
    <x v="0"/>
    <n v="30"/>
    <x v="1"/>
    <x v="6"/>
  </r>
  <r>
    <n v="600"/>
    <x v="47"/>
    <x v="0"/>
    <x v="23"/>
    <x v="1"/>
    <n v="26"/>
    <s v="Massachusetts"/>
    <x v="0"/>
    <x v="11"/>
    <x v="1"/>
    <x v="19"/>
    <x v="0"/>
    <x v="3"/>
    <x v="0"/>
    <x v="0"/>
    <n v="27"/>
    <x v="5"/>
    <x v="6"/>
  </r>
  <r>
    <n v="601"/>
    <x v="40"/>
    <x v="0"/>
    <x v="19"/>
    <x v="3"/>
    <n v="63"/>
    <s v="South Carolina"/>
    <x v="2"/>
    <x v="4"/>
    <x v="1"/>
    <x v="16"/>
    <x v="0"/>
    <x v="4"/>
    <x v="0"/>
    <x v="0"/>
    <n v="25"/>
    <x v="0"/>
    <x v="5"/>
  </r>
  <r>
    <n v="602"/>
    <x v="45"/>
    <x v="0"/>
    <x v="21"/>
    <x v="3"/>
    <n v="38"/>
    <s v="West Virginia"/>
    <x v="2"/>
    <x v="1"/>
    <x v="2"/>
    <x v="10"/>
    <x v="0"/>
    <x v="5"/>
    <x v="0"/>
    <x v="0"/>
    <n v="5"/>
    <x v="1"/>
    <x v="0"/>
  </r>
  <r>
    <n v="603"/>
    <x v="43"/>
    <x v="0"/>
    <x v="9"/>
    <x v="1"/>
    <n v="58"/>
    <s v="Oregon"/>
    <x v="0"/>
    <x v="12"/>
    <x v="2"/>
    <x v="19"/>
    <x v="0"/>
    <x v="2"/>
    <x v="0"/>
    <x v="0"/>
    <n v="10"/>
    <x v="1"/>
    <x v="6"/>
  </r>
  <r>
    <n v="604"/>
    <x v="18"/>
    <x v="0"/>
    <x v="8"/>
    <x v="3"/>
    <n v="46"/>
    <s v="Massachusetts"/>
    <x v="0"/>
    <x v="14"/>
    <x v="0"/>
    <x v="23"/>
    <x v="0"/>
    <x v="4"/>
    <x v="0"/>
    <x v="0"/>
    <n v="26"/>
    <x v="3"/>
    <x v="6"/>
  </r>
  <r>
    <n v="605"/>
    <x v="42"/>
    <x v="0"/>
    <x v="12"/>
    <x v="3"/>
    <n v="92"/>
    <s v="West Virginia"/>
    <x v="1"/>
    <x v="6"/>
    <x v="3"/>
    <x v="14"/>
    <x v="0"/>
    <x v="5"/>
    <x v="0"/>
    <x v="0"/>
    <n v="11"/>
    <x v="2"/>
    <x v="6"/>
  </r>
  <r>
    <n v="606"/>
    <x v="37"/>
    <x v="0"/>
    <x v="19"/>
    <x v="3"/>
    <n v="32"/>
    <s v="California"/>
    <x v="3"/>
    <x v="4"/>
    <x v="0"/>
    <x v="19"/>
    <x v="0"/>
    <x v="3"/>
    <x v="0"/>
    <x v="0"/>
    <n v="17"/>
    <x v="4"/>
    <x v="1"/>
  </r>
  <r>
    <n v="607"/>
    <x v="7"/>
    <x v="0"/>
    <x v="18"/>
    <x v="3"/>
    <n v="90"/>
    <s v="Colorado"/>
    <x v="2"/>
    <x v="24"/>
    <x v="1"/>
    <x v="9"/>
    <x v="0"/>
    <x v="3"/>
    <x v="0"/>
    <x v="0"/>
    <n v="44"/>
    <x v="3"/>
    <x v="5"/>
  </r>
  <r>
    <n v="608"/>
    <x v="36"/>
    <x v="0"/>
    <x v="15"/>
    <x v="0"/>
    <n v="23"/>
    <s v="Indiana"/>
    <x v="0"/>
    <x v="7"/>
    <x v="3"/>
    <x v="11"/>
    <x v="0"/>
    <x v="2"/>
    <x v="0"/>
    <x v="0"/>
    <n v="44"/>
    <x v="1"/>
    <x v="5"/>
  </r>
  <r>
    <n v="609"/>
    <x v="38"/>
    <x v="0"/>
    <x v="21"/>
    <x v="3"/>
    <n v="25"/>
    <s v="Delaware"/>
    <x v="1"/>
    <x v="9"/>
    <x v="3"/>
    <x v="13"/>
    <x v="0"/>
    <x v="2"/>
    <x v="0"/>
    <x v="0"/>
    <n v="21"/>
    <x v="0"/>
    <x v="6"/>
  </r>
  <r>
    <n v="610"/>
    <x v="47"/>
    <x v="0"/>
    <x v="1"/>
    <x v="0"/>
    <n v="54"/>
    <s v="Ohio"/>
    <x v="0"/>
    <x v="7"/>
    <x v="3"/>
    <x v="12"/>
    <x v="0"/>
    <x v="2"/>
    <x v="0"/>
    <x v="0"/>
    <n v="49"/>
    <x v="2"/>
    <x v="0"/>
  </r>
  <r>
    <n v="611"/>
    <x v="10"/>
    <x v="0"/>
    <x v="6"/>
    <x v="0"/>
    <n v="72"/>
    <s v="Oklahoma"/>
    <x v="2"/>
    <x v="4"/>
    <x v="2"/>
    <x v="25"/>
    <x v="0"/>
    <x v="1"/>
    <x v="0"/>
    <x v="0"/>
    <n v="27"/>
    <x v="4"/>
    <x v="6"/>
  </r>
  <r>
    <n v="612"/>
    <x v="49"/>
    <x v="0"/>
    <x v="18"/>
    <x v="3"/>
    <n v="33"/>
    <s v="California"/>
    <x v="2"/>
    <x v="13"/>
    <x v="0"/>
    <x v="10"/>
    <x v="0"/>
    <x v="5"/>
    <x v="0"/>
    <x v="0"/>
    <n v="19"/>
    <x v="1"/>
    <x v="5"/>
  </r>
  <r>
    <n v="613"/>
    <x v="29"/>
    <x v="0"/>
    <x v="19"/>
    <x v="3"/>
    <n v="43"/>
    <s v="New Hampshire"/>
    <x v="0"/>
    <x v="12"/>
    <x v="3"/>
    <x v="12"/>
    <x v="0"/>
    <x v="0"/>
    <x v="0"/>
    <x v="0"/>
    <n v="33"/>
    <x v="2"/>
    <x v="3"/>
  </r>
  <r>
    <n v="614"/>
    <x v="12"/>
    <x v="0"/>
    <x v="7"/>
    <x v="2"/>
    <n v="51"/>
    <s v="Pennsylvania"/>
    <x v="0"/>
    <x v="12"/>
    <x v="3"/>
    <x v="5"/>
    <x v="0"/>
    <x v="3"/>
    <x v="0"/>
    <x v="0"/>
    <n v="46"/>
    <x v="1"/>
    <x v="4"/>
  </r>
  <r>
    <n v="615"/>
    <x v="33"/>
    <x v="0"/>
    <x v="16"/>
    <x v="3"/>
    <n v="85"/>
    <s v="Idaho"/>
    <x v="2"/>
    <x v="12"/>
    <x v="0"/>
    <x v="17"/>
    <x v="0"/>
    <x v="3"/>
    <x v="0"/>
    <x v="0"/>
    <n v="21"/>
    <x v="2"/>
    <x v="4"/>
  </r>
  <r>
    <n v="616"/>
    <x v="29"/>
    <x v="0"/>
    <x v="3"/>
    <x v="1"/>
    <n v="100"/>
    <s v="Maryland"/>
    <x v="0"/>
    <x v="8"/>
    <x v="2"/>
    <x v="5"/>
    <x v="0"/>
    <x v="2"/>
    <x v="0"/>
    <x v="0"/>
    <n v="23"/>
    <x v="0"/>
    <x v="2"/>
  </r>
  <r>
    <n v="617"/>
    <x v="26"/>
    <x v="0"/>
    <x v="24"/>
    <x v="3"/>
    <n v="72"/>
    <s v="Pennsylvania"/>
    <x v="0"/>
    <x v="11"/>
    <x v="1"/>
    <x v="12"/>
    <x v="0"/>
    <x v="1"/>
    <x v="0"/>
    <x v="0"/>
    <n v="38"/>
    <x v="2"/>
    <x v="6"/>
  </r>
  <r>
    <n v="618"/>
    <x v="2"/>
    <x v="0"/>
    <x v="21"/>
    <x v="3"/>
    <n v="57"/>
    <s v="Colorado"/>
    <x v="2"/>
    <x v="1"/>
    <x v="3"/>
    <x v="5"/>
    <x v="0"/>
    <x v="3"/>
    <x v="0"/>
    <x v="0"/>
    <n v="2"/>
    <x v="4"/>
    <x v="3"/>
  </r>
  <r>
    <n v="619"/>
    <x v="12"/>
    <x v="0"/>
    <x v="14"/>
    <x v="2"/>
    <n v="94"/>
    <s v="Indiana"/>
    <x v="0"/>
    <x v="17"/>
    <x v="1"/>
    <x v="17"/>
    <x v="0"/>
    <x v="0"/>
    <x v="0"/>
    <x v="0"/>
    <n v="21"/>
    <x v="5"/>
    <x v="4"/>
  </r>
  <r>
    <n v="620"/>
    <x v="1"/>
    <x v="0"/>
    <x v="21"/>
    <x v="3"/>
    <n v="34"/>
    <s v="Nebraska"/>
    <x v="2"/>
    <x v="4"/>
    <x v="2"/>
    <x v="12"/>
    <x v="0"/>
    <x v="5"/>
    <x v="0"/>
    <x v="0"/>
    <n v="1"/>
    <x v="5"/>
    <x v="6"/>
  </r>
  <r>
    <n v="621"/>
    <x v="23"/>
    <x v="0"/>
    <x v="21"/>
    <x v="3"/>
    <n v="89"/>
    <s v="Rhode Island"/>
    <x v="2"/>
    <x v="13"/>
    <x v="3"/>
    <x v="18"/>
    <x v="0"/>
    <x v="4"/>
    <x v="0"/>
    <x v="0"/>
    <n v="10"/>
    <x v="0"/>
    <x v="6"/>
  </r>
  <r>
    <n v="622"/>
    <x v="47"/>
    <x v="0"/>
    <x v="12"/>
    <x v="3"/>
    <n v="27"/>
    <s v="Kansas"/>
    <x v="1"/>
    <x v="16"/>
    <x v="3"/>
    <x v="14"/>
    <x v="0"/>
    <x v="5"/>
    <x v="0"/>
    <x v="0"/>
    <n v="45"/>
    <x v="2"/>
    <x v="1"/>
  </r>
  <r>
    <n v="623"/>
    <x v="28"/>
    <x v="0"/>
    <x v="20"/>
    <x v="0"/>
    <n v="63"/>
    <s v="Georgia"/>
    <x v="1"/>
    <x v="15"/>
    <x v="1"/>
    <x v="17"/>
    <x v="0"/>
    <x v="2"/>
    <x v="0"/>
    <x v="0"/>
    <n v="44"/>
    <x v="4"/>
    <x v="0"/>
  </r>
  <r>
    <n v="624"/>
    <x v="1"/>
    <x v="0"/>
    <x v="9"/>
    <x v="1"/>
    <n v="70"/>
    <s v="Nevada"/>
    <x v="2"/>
    <x v="3"/>
    <x v="3"/>
    <x v="10"/>
    <x v="0"/>
    <x v="3"/>
    <x v="0"/>
    <x v="0"/>
    <n v="48"/>
    <x v="3"/>
    <x v="4"/>
  </r>
  <r>
    <n v="625"/>
    <x v="0"/>
    <x v="0"/>
    <x v="13"/>
    <x v="0"/>
    <n v="87"/>
    <s v="South Carolina"/>
    <x v="3"/>
    <x v="6"/>
    <x v="3"/>
    <x v="23"/>
    <x v="0"/>
    <x v="0"/>
    <x v="0"/>
    <x v="0"/>
    <n v="21"/>
    <x v="3"/>
    <x v="2"/>
  </r>
  <r>
    <n v="626"/>
    <x v="34"/>
    <x v="0"/>
    <x v="16"/>
    <x v="3"/>
    <n v="79"/>
    <s v="Delaware"/>
    <x v="2"/>
    <x v="16"/>
    <x v="3"/>
    <x v="17"/>
    <x v="0"/>
    <x v="2"/>
    <x v="0"/>
    <x v="0"/>
    <n v="1"/>
    <x v="0"/>
    <x v="1"/>
  </r>
  <r>
    <n v="627"/>
    <x v="18"/>
    <x v="0"/>
    <x v="12"/>
    <x v="3"/>
    <n v="79"/>
    <s v="New Hampshire"/>
    <x v="2"/>
    <x v="21"/>
    <x v="1"/>
    <x v="20"/>
    <x v="0"/>
    <x v="3"/>
    <x v="0"/>
    <x v="0"/>
    <n v="10"/>
    <x v="0"/>
    <x v="2"/>
  </r>
  <r>
    <n v="628"/>
    <x v="32"/>
    <x v="0"/>
    <x v="3"/>
    <x v="1"/>
    <n v="44"/>
    <s v="Oregon"/>
    <x v="0"/>
    <x v="13"/>
    <x v="0"/>
    <x v="7"/>
    <x v="0"/>
    <x v="0"/>
    <x v="0"/>
    <x v="0"/>
    <n v="24"/>
    <x v="3"/>
    <x v="5"/>
  </r>
  <r>
    <n v="629"/>
    <x v="28"/>
    <x v="0"/>
    <x v="1"/>
    <x v="0"/>
    <n v="85"/>
    <s v="Massachusetts"/>
    <x v="2"/>
    <x v="3"/>
    <x v="3"/>
    <x v="18"/>
    <x v="0"/>
    <x v="4"/>
    <x v="0"/>
    <x v="0"/>
    <n v="29"/>
    <x v="2"/>
    <x v="5"/>
  </r>
  <r>
    <n v="630"/>
    <x v="8"/>
    <x v="0"/>
    <x v="9"/>
    <x v="1"/>
    <n v="90"/>
    <s v="Vermont"/>
    <x v="0"/>
    <x v="19"/>
    <x v="1"/>
    <x v="10"/>
    <x v="0"/>
    <x v="3"/>
    <x v="0"/>
    <x v="0"/>
    <n v="11"/>
    <x v="5"/>
    <x v="2"/>
  </r>
  <r>
    <n v="631"/>
    <x v="38"/>
    <x v="0"/>
    <x v="16"/>
    <x v="3"/>
    <n v="94"/>
    <s v="Mississippi"/>
    <x v="1"/>
    <x v="5"/>
    <x v="3"/>
    <x v="24"/>
    <x v="0"/>
    <x v="4"/>
    <x v="0"/>
    <x v="0"/>
    <n v="33"/>
    <x v="5"/>
    <x v="2"/>
  </r>
  <r>
    <n v="632"/>
    <x v="0"/>
    <x v="0"/>
    <x v="23"/>
    <x v="1"/>
    <n v="68"/>
    <s v="Washington"/>
    <x v="1"/>
    <x v="10"/>
    <x v="2"/>
    <x v="7"/>
    <x v="0"/>
    <x v="5"/>
    <x v="0"/>
    <x v="0"/>
    <n v="27"/>
    <x v="1"/>
    <x v="0"/>
  </r>
  <r>
    <n v="633"/>
    <x v="25"/>
    <x v="0"/>
    <x v="21"/>
    <x v="3"/>
    <n v="51"/>
    <s v="Wyoming"/>
    <x v="2"/>
    <x v="16"/>
    <x v="0"/>
    <x v="20"/>
    <x v="0"/>
    <x v="2"/>
    <x v="0"/>
    <x v="0"/>
    <n v="19"/>
    <x v="0"/>
    <x v="0"/>
  </r>
  <r>
    <n v="634"/>
    <x v="17"/>
    <x v="0"/>
    <x v="3"/>
    <x v="1"/>
    <n v="33"/>
    <s v="Minnesota"/>
    <x v="2"/>
    <x v="20"/>
    <x v="1"/>
    <x v="3"/>
    <x v="0"/>
    <x v="0"/>
    <x v="0"/>
    <x v="0"/>
    <n v="50"/>
    <x v="5"/>
    <x v="3"/>
  </r>
  <r>
    <n v="635"/>
    <x v="24"/>
    <x v="0"/>
    <x v="4"/>
    <x v="1"/>
    <n v="60"/>
    <s v="Ohio"/>
    <x v="2"/>
    <x v="11"/>
    <x v="2"/>
    <x v="20"/>
    <x v="0"/>
    <x v="3"/>
    <x v="0"/>
    <x v="0"/>
    <n v="46"/>
    <x v="3"/>
    <x v="1"/>
  </r>
  <r>
    <n v="636"/>
    <x v="7"/>
    <x v="0"/>
    <x v="15"/>
    <x v="0"/>
    <n v="59"/>
    <s v="South Carolina"/>
    <x v="2"/>
    <x v="18"/>
    <x v="3"/>
    <x v="24"/>
    <x v="0"/>
    <x v="4"/>
    <x v="0"/>
    <x v="0"/>
    <n v="28"/>
    <x v="1"/>
    <x v="3"/>
  </r>
  <r>
    <n v="637"/>
    <x v="38"/>
    <x v="0"/>
    <x v="8"/>
    <x v="3"/>
    <n v="30"/>
    <s v="Wisconsin"/>
    <x v="2"/>
    <x v="21"/>
    <x v="2"/>
    <x v="11"/>
    <x v="0"/>
    <x v="5"/>
    <x v="0"/>
    <x v="0"/>
    <n v="14"/>
    <x v="4"/>
    <x v="6"/>
  </r>
  <r>
    <n v="638"/>
    <x v="3"/>
    <x v="0"/>
    <x v="1"/>
    <x v="0"/>
    <n v="20"/>
    <s v="Tennessee"/>
    <x v="2"/>
    <x v="17"/>
    <x v="0"/>
    <x v="23"/>
    <x v="0"/>
    <x v="4"/>
    <x v="0"/>
    <x v="0"/>
    <n v="46"/>
    <x v="1"/>
    <x v="0"/>
  </r>
  <r>
    <n v="639"/>
    <x v="10"/>
    <x v="0"/>
    <x v="3"/>
    <x v="1"/>
    <n v="20"/>
    <s v="Maryland"/>
    <x v="1"/>
    <x v="24"/>
    <x v="2"/>
    <x v="2"/>
    <x v="0"/>
    <x v="0"/>
    <x v="0"/>
    <x v="0"/>
    <n v="41"/>
    <x v="3"/>
    <x v="5"/>
  </r>
  <r>
    <n v="640"/>
    <x v="22"/>
    <x v="0"/>
    <x v="10"/>
    <x v="0"/>
    <n v="24"/>
    <s v="Mississippi"/>
    <x v="0"/>
    <x v="8"/>
    <x v="1"/>
    <x v="17"/>
    <x v="0"/>
    <x v="4"/>
    <x v="0"/>
    <x v="0"/>
    <n v="50"/>
    <x v="2"/>
    <x v="2"/>
  </r>
  <r>
    <n v="641"/>
    <x v="10"/>
    <x v="0"/>
    <x v="11"/>
    <x v="0"/>
    <n v="88"/>
    <s v="Minnesota"/>
    <x v="2"/>
    <x v="0"/>
    <x v="2"/>
    <x v="14"/>
    <x v="0"/>
    <x v="5"/>
    <x v="0"/>
    <x v="0"/>
    <n v="28"/>
    <x v="5"/>
    <x v="0"/>
  </r>
  <r>
    <n v="642"/>
    <x v="36"/>
    <x v="0"/>
    <x v="0"/>
    <x v="0"/>
    <n v="78"/>
    <s v="Alaska"/>
    <x v="2"/>
    <x v="16"/>
    <x v="0"/>
    <x v="20"/>
    <x v="0"/>
    <x v="4"/>
    <x v="0"/>
    <x v="0"/>
    <n v="23"/>
    <x v="2"/>
    <x v="6"/>
  </r>
  <r>
    <n v="643"/>
    <x v="14"/>
    <x v="0"/>
    <x v="11"/>
    <x v="0"/>
    <n v="25"/>
    <s v="Arkansas"/>
    <x v="0"/>
    <x v="16"/>
    <x v="1"/>
    <x v="11"/>
    <x v="0"/>
    <x v="4"/>
    <x v="0"/>
    <x v="0"/>
    <n v="14"/>
    <x v="5"/>
    <x v="4"/>
  </r>
  <r>
    <n v="644"/>
    <x v="20"/>
    <x v="0"/>
    <x v="1"/>
    <x v="0"/>
    <n v="57"/>
    <s v="Oregon"/>
    <x v="3"/>
    <x v="14"/>
    <x v="0"/>
    <x v="4"/>
    <x v="0"/>
    <x v="2"/>
    <x v="0"/>
    <x v="0"/>
    <n v="10"/>
    <x v="4"/>
    <x v="6"/>
  </r>
  <r>
    <n v="645"/>
    <x v="33"/>
    <x v="0"/>
    <x v="21"/>
    <x v="3"/>
    <n v="93"/>
    <s v="Louisiana"/>
    <x v="1"/>
    <x v="24"/>
    <x v="2"/>
    <x v="24"/>
    <x v="0"/>
    <x v="2"/>
    <x v="0"/>
    <x v="0"/>
    <n v="37"/>
    <x v="1"/>
    <x v="1"/>
  </r>
  <r>
    <n v="646"/>
    <x v="46"/>
    <x v="0"/>
    <x v="15"/>
    <x v="0"/>
    <n v="42"/>
    <s v="Oklahoma"/>
    <x v="1"/>
    <x v="7"/>
    <x v="2"/>
    <x v="19"/>
    <x v="0"/>
    <x v="0"/>
    <x v="0"/>
    <x v="0"/>
    <n v="15"/>
    <x v="0"/>
    <x v="4"/>
  </r>
  <r>
    <n v="647"/>
    <x v="47"/>
    <x v="0"/>
    <x v="23"/>
    <x v="1"/>
    <n v="54"/>
    <s v="Indiana"/>
    <x v="3"/>
    <x v="6"/>
    <x v="1"/>
    <x v="8"/>
    <x v="0"/>
    <x v="3"/>
    <x v="0"/>
    <x v="0"/>
    <n v="19"/>
    <x v="0"/>
    <x v="4"/>
  </r>
  <r>
    <n v="648"/>
    <x v="22"/>
    <x v="0"/>
    <x v="0"/>
    <x v="0"/>
    <n v="70"/>
    <s v="Mississippi"/>
    <x v="3"/>
    <x v="4"/>
    <x v="2"/>
    <x v="18"/>
    <x v="0"/>
    <x v="0"/>
    <x v="0"/>
    <x v="0"/>
    <n v="23"/>
    <x v="2"/>
    <x v="0"/>
  </r>
  <r>
    <n v="649"/>
    <x v="40"/>
    <x v="0"/>
    <x v="15"/>
    <x v="0"/>
    <n v="31"/>
    <s v="Michigan"/>
    <x v="2"/>
    <x v="18"/>
    <x v="0"/>
    <x v="7"/>
    <x v="0"/>
    <x v="5"/>
    <x v="0"/>
    <x v="0"/>
    <n v="35"/>
    <x v="2"/>
    <x v="1"/>
  </r>
  <r>
    <n v="650"/>
    <x v="10"/>
    <x v="0"/>
    <x v="13"/>
    <x v="0"/>
    <n v="93"/>
    <s v="Delaware"/>
    <x v="0"/>
    <x v="20"/>
    <x v="1"/>
    <x v="19"/>
    <x v="0"/>
    <x v="5"/>
    <x v="0"/>
    <x v="0"/>
    <n v="33"/>
    <x v="3"/>
    <x v="6"/>
  </r>
  <r>
    <n v="651"/>
    <x v="50"/>
    <x v="0"/>
    <x v="24"/>
    <x v="3"/>
    <n v="40"/>
    <s v="Florida"/>
    <x v="2"/>
    <x v="23"/>
    <x v="1"/>
    <x v="20"/>
    <x v="0"/>
    <x v="2"/>
    <x v="0"/>
    <x v="0"/>
    <n v="12"/>
    <x v="4"/>
    <x v="2"/>
  </r>
  <r>
    <n v="652"/>
    <x v="45"/>
    <x v="0"/>
    <x v="19"/>
    <x v="3"/>
    <n v="32"/>
    <s v="Arkansas"/>
    <x v="0"/>
    <x v="22"/>
    <x v="2"/>
    <x v="3"/>
    <x v="0"/>
    <x v="2"/>
    <x v="0"/>
    <x v="0"/>
    <n v="41"/>
    <x v="0"/>
    <x v="0"/>
  </r>
  <r>
    <n v="653"/>
    <x v="14"/>
    <x v="0"/>
    <x v="12"/>
    <x v="3"/>
    <n v="27"/>
    <s v="Minnesota"/>
    <x v="2"/>
    <x v="19"/>
    <x v="0"/>
    <x v="0"/>
    <x v="0"/>
    <x v="1"/>
    <x v="0"/>
    <x v="0"/>
    <n v="27"/>
    <x v="0"/>
    <x v="1"/>
  </r>
  <r>
    <n v="654"/>
    <x v="30"/>
    <x v="0"/>
    <x v="18"/>
    <x v="3"/>
    <n v="68"/>
    <s v="North Dakota"/>
    <x v="2"/>
    <x v="8"/>
    <x v="0"/>
    <x v="15"/>
    <x v="0"/>
    <x v="4"/>
    <x v="0"/>
    <x v="0"/>
    <n v="45"/>
    <x v="1"/>
    <x v="0"/>
  </r>
  <r>
    <n v="655"/>
    <x v="41"/>
    <x v="0"/>
    <x v="8"/>
    <x v="3"/>
    <n v="59"/>
    <s v="California"/>
    <x v="0"/>
    <x v="0"/>
    <x v="2"/>
    <x v="14"/>
    <x v="0"/>
    <x v="4"/>
    <x v="0"/>
    <x v="0"/>
    <n v="23"/>
    <x v="0"/>
    <x v="2"/>
  </r>
  <r>
    <n v="656"/>
    <x v="30"/>
    <x v="0"/>
    <x v="8"/>
    <x v="3"/>
    <n v="36"/>
    <s v="Mississippi"/>
    <x v="1"/>
    <x v="7"/>
    <x v="3"/>
    <x v="0"/>
    <x v="0"/>
    <x v="1"/>
    <x v="0"/>
    <x v="0"/>
    <n v="19"/>
    <x v="0"/>
    <x v="5"/>
  </r>
  <r>
    <n v="657"/>
    <x v="32"/>
    <x v="0"/>
    <x v="2"/>
    <x v="0"/>
    <n v="23"/>
    <s v="Pennsylvania"/>
    <x v="2"/>
    <x v="19"/>
    <x v="2"/>
    <x v="20"/>
    <x v="0"/>
    <x v="3"/>
    <x v="0"/>
    <x v="0"/>
    <n v="6"/>
    <x v="3"/>
    <x v="3"/>
  </r>
  <r>
    <n v="658"/>
    <x v="39"/>
    <x v="0"/>
    <x v="14"/>
    <x v="2"/>
    <n v="80"/>
    <s v="Arizona"/>
    <x v="2"/>
    <x v="3"/>
    <x v="0"/>
    <x v="24"/>
    <x v="0"/>
    <x v="1"/>
    <x v="0"/>
    <x v="0"/>
    <n v="6"/>
    <x v="3"/>
    <x v="3"/>
  </r>
  <r>
    <n v="659"/>
    <x v="46"/>
    <x v="0"/>
    <x v="21"/>
    <x v="3"/>
    <n v="37"/>
    <s v="Louisiana"/>
    <x v="1"/>
    <x v="3"/>
    <x v="3"/>
    <x v="8"/>
    <x v="0"/>
    <x v="5"/>
    <x v="0"/>
    <x v="0"/>
    <n v="20"/>
    <x v="0"/>
    <x v="1"/>
  </r>
  <r>
    <n v="660"/>
    <x v="46"/>
    <x v="0"/>
    <x v="6"/>
    <x v="0"/>
    <n v="52"/>
    <s v="Virginia"/>
    <x v="1"/>
    <x v="9"/>
    <x v="1"/>
    <x v="15"/>
    <x v="0"/>
    <x v="4"/>
    <x v="0"/>
    <x v="0"/>
    <n v="8"/>
    <x v="1"/>
    <x v="1"/>
  </r>
  <r>
    <n v="661"/>
    <x v="2"/>
    <x v="0"/>
    <x v="7"/>
    <x v="2"/>
    <n v="79"/>
    <s v="Montana"/>
    <x v="2"/>
    <x v="8"/>
    <x v="3"/>
    <x v="16"/>
    <x v="0"/>
    <x v="4"/>
    <x v="0"/>
    <x v="0"/>
    <n v="39"/>
    <x v="2"/>
    <x v="3"/>
  </r>
  <r>
    <n v="662"/>
    <x v="9"/>
    <x v="0"/>
    <x v="5"/>
    <x v="0"/>
    <n v="68"/>
    <s v="Iowa"/>
    <x v="3"/>
    <x v="14"/>
    <x v="3"/>
    <x v="7"/>
    <x v="0"/>
    <x v="5"/>
    <x v="0"/>
    <x v="0"/>
    <n v="39"/>
    <x v="2"/>
    <x v="3"/>
  </r>
  <r>
    <n v="663"/>
    <x v="41"/>
    <x v="0"/>
    <x v="24"/>
    <x v="3"/>
    <n v="98"/>
    <s v="Illinois"/>
    <x v="0"/>
    <x v="23"/>
    <x v="3"/>
    <x v="11"/>
    <x v="0"/>
    <x v="0"/>
    <x v="0"/>
    <x v="0"/>
    <n v="39"/>
    <x v="0"/>
    <x v="4"/>
  </r>
  <r>
    <n v="664"/>
    <x v="35"/>
    <x v="0"/>
    <x v="10"/>
    <x v="0"/>
    <n v="83"/>
    <s v="Alaska"/>
    <x v="2"/>
    <x v="4"/>
    <x v="3"/>
    <x v="10"/>
    <x v="0"/>
    <x v="0"/>
    <x v="0"/>
    <x v="0"/>
    <n v="23"/>
    <x v="2"/>
    <x v="5"/>
  </r>
  <r>
    <n v="665"/>
    <x v="6"/>
    <x v="0"/>
    <x v="13"/>
    <x v="0"/>
    <n v="83"/>
    <s v="Colorado"/>
    <x v="2"/>
    <x v="21"/>
    <x v="0"/>
    <x v="14"/>
    <x v="0"/>
    <x v="0"/>
    <x v="0"/>
    <x v="0"/>
    <n v="41"/>
    <x v="3"/>
    <x v="4"/>
  </r>
  <r>
    <n v="666"/>
    <x v="38"/>
    <x v="0"/>
    <x v="13"/>
    <x v="0"/>
    <n v="55"/>
    <s v="New Mexico"/>
    <x v="2"/>
    <x v="15"/>
    <x v="1"/>
    <x v="8"/>
    <x v="0"/>
    <x v="4"/>
    <x v="0"/>
    <x v="0"/>
    <n v="50"/>
    <x v="2"/>
    <x v="2"/>
  </r>
  <r>
    <n v="667"/>
    <x v="25"/>
    <x v="0"/>
    <x v="15"/>
    <x v="0"/>
    <n v="26"/>
    <s v="Colorado"/>
    <x v="0"/>
    <x v="2"/>
    <x v="0"/>
    <x v="0"/>
    <x v="0"/>
    <x v="1"/>
    <x v="0"/>
    <x v="0"/>
    <n v="30"/>
    <x v="5"/>
    <x v="3"/>
  </r>
  <r>
    <n v="668"/>
    <x v="50"/>
    <x v="0"/>
    <x v="12"/>
    <x v="3"/>
    <n v="76"/>
    <s v="Arizona"/>
    <x v="1"/>
    <x v="24"/>
    <x v="0"/>
    <x v="5"/>
    <x v="0"/>
    <x v="3"/>
    <x v="0"/>
    <x v="0"/>
    <n v="32"/>
    <x v="4"/>
    <x v="3"/>
  </r>
  <r>
    <n v="669"/>
    <x v="34"/>
    <x v="0"/>
    <x v="17"/>
    <x v="0"/>
    <n v="85"/>
    <s v="Hawaii"/>
    <x v="1"/>
    <x v="2"/>
    <x v="3"/>
    <x v="3"/>
    <x v="0"/>
    <x v="0"/>
    <x v="0"/>
    <x v="0"/>
    <n v="35"/>
    <x v="4"/>
    <x v="5"/>
  </r>
  <r>
    <n v="670"/>
    <x v="49"/>
    <x v="0"/>
    <x v="14"/>
    <x v="2"/>
    <n v="89"/>
    <s v="Illinois"/>
    <x v="2"/>
    <x v="0"/>
    <x v="1"/>
    <x v="13"/>
    <x v="0"/>
    <x v="1"/>
    <x v="0"/>
    <x v="0"/>
    <n v="45"/>
    <x v="0"/>
    <x v="4"/>
  </r>
  <r>
    <n v="671"/>
    <x v="6"/>
    <x v="0"/>
    <x v="1"/>
    <x v="0"/>
    <n v="41"/>
    <s v="Louisiana"/>
    <x v="3"/>
    <x v="7"/>
    <x v="1"/>
    <x v="6"/>
    <x v="0"/>
    <x v="2"/>
    <x v="0"/>
    <x v="0"/>
    <n v="37"/>
    <x v="1"/>
    <x v="4"/>
  </r>
  <r>
    <n v="672"/>
    <x v="21"/>
    <x v="0"/>
    <x v="14"/>
    <x v="2"/>
    <n v="30"/>
    <s v="Iowa"/>
    <x v="0"/>
    <x v="13"/>
    <x v="0"/>
    <x v="10"/>
    <x v="0"/>
    <x v="0"/>
    <x v="0"/>
    <x v="0"/>
    <n v="45"/>
    <x v="1"/>
    <x v="1"/>
  </r>
  <r>
    <n v="673"/>
    <x v="35"/>
    <x v="0"/>
    <x v="20"/>
    <x v="0"/>
    <n v="53"/>
    <s v="Washington"/>
    <x v="2"/>
    <x v="15"/>
    <x v="0"/>
    <x v="13"/>
    <x v="0"/>
    <x v="4"/>
    <x v="0"/>
    <x v="0"/>
    <n v="29"/>
    <x v="1"/>
    <x v="3"/>
  </r>
  <r>
    <n v="674"/>
    <x v="25"/>
    <x v="0"/>
    <x v="5"/>
    <x v="0"/>
    <n v="66"/>
    <s v="Oklahoma"/>
    <x v="2"/>
    <x v="21"/>
    <x v="1"/>
    <x v="19"/>
    <x v="0"/>
    <x v="1"/>
    <x v="0"/>
    <x v="0"/>
    <n v="27"/>
    <x v="0"/>
    <x v="4"/>
  </r>
  <r>
    <n v="675"/>
    <x v="39"/>
    <x v="0"/>
    <x v="16"/>
    <x v="3"/>
    <n v="33"/>
    <s v="Washington"/>
    <x v="3"/>
    <x v="19"/>
    <x v="0"/>
    <x v="10"/>
    <x v="0"/>
    <x v="5"/>
    <x v="0"/>
    <x v="0"/>
    <n v="36"/>
    <x v="4"/>
    <x v="2"/>
  </r>
  <r>
    <n v="676"/>
    <x v="14"/>
    <x v="0"/>
    <x v="12"/>
    <x v="3"/>
    <n v="86"/>
    <s v="Arkansas"/>
    <x v="2"/>
    <x v="22"/>
    <x v="1"/>
    <x v="5"/>
    <x v="0"/>
    <x v="4"/>
    <x v="0"/>
    <x v="0"/>
    <n v="9"/>
    <x v="1"/>
    <x v="2"/>
  </r>
  <r>
    <n v="677"/>
    <x v="48"/>
    <x v="0"/>
    <x v="13"/>
    <x v="0"/>
    <n v="60"/>
    <s v="Connecticut"/>
    <x v="2"/>
    <x v="15"/>
    <x v="0"/>
    <x v="3"/>
    <x v="0"/>
    <x v="4"/>
    <x v="0"/>
    <x v="0"/>
    <n v="38"/>
    <x v="0"/>
    <x v="4"/>
  </r>
  <r>
    <n v="678"/>
    <x v="52"/>
    <x v="0"/>
    <x v="20"/>
    <x v="0"/>
    <n v="62"/>
    <s v="Washington"/>
    <x v="1"/>
    <x v="2"/>
    <x v="2"/>
    <x v="2"/>
    <x v="0"/>
    <x v="0"/>
    <x v="0"/>
    <x v="0"/>
    <n v="41"/>
    <x v="3"/>
    <x v="2"/>
  </r>
  <r>
    <n v="679"/>
    <x v="7"/>
    <x v="0"/>
    <x v="0"/>
    <x v="0"/>
    <n v="74"/>
    <s v="Maine"/>
    <x v="2"/>
    <x v="11"/>
    <x v="3"/>
    <x v="13"/>
    <x v="0"/>
    <x v="5"/>
    <x v="0"/>
    <x v="0"/>
    <n v="25"/>
    <x v="5"/>
    <x v="6"/>
  </r>
  <r>
    <n v="680"/>
    <x v="19"/>
    <x v="0"/>
    <x v="3"/>
    <x v="1"/>
    <n v="95"/>
    <s v="Michigan"/>
    <x v="2"/>
    <x v="2"/>
    <x v="3"/>
    <x v="23"/>
    <x v="0"/>
    <x v="0"/>
    <x v="0"/>
    <x v="0"/>
    <n v="37"/>
    <x v="0"/>
    <x v="0"/>
  </r>
  <r>
    <n v="681"/>
    <x v="44"/>
    <x v="0"/>
    <x v="4"/>
    <x v="1"/>
    <n v="25"/>
    <s v="Tennessee"/>
    <x v="2"/>
    <x v="23"/>
    <x v="1"/>
    <x v="19"/>
    <x v="0"/>
    <x v="0"/>
    <x v="0"/>
    <x v="0"/>
    <n v="3"/>
    <x v="3"/>
    <x v="2"/>
  </r>
  <r>
    <n v="682"/>
    <x v="11"/>
    <x v="0"/>
    <x v="5"/>
    <x v="0"/>
    <n v="59"/>
    <s v="Louisiana"/>
    <x v="3"/>
    <x v="7"/>
    <x v="0"/>
    <x v="22"/>
    <x v="0"/>
    <x v="4"/>
    <x v="0"/>
    <x v="0"/>
    <n v="24"/>
    <x v="2"/>
    <x v="6"/>
  </r>
  <r>
    <n v="683"/>
    <x v="51"/>
    <x v="0"/>
    <x v="14"/>
    <x v="2"/>
    <n v="29"/>
    <s v="Missouri"/>
    <x v="2"/>
    <x v="18"/>
    <x v="2"/>
    <x v="17"/>
    <x v="0"/>
    <x v="3"/>
    <x v="0"/>
    <x v="0"/>
    <n v="49"/>
    <x v="2"/>
    <x v="4"/>
  </r>
  <r>
    <n v="684"/>
    <x v="23"/>
    <x v="0"/>
    <x v="3"/>
    <x v="1"/>
    <n v="36"/>
    <s v="Michigan"/>
    <x v="1"/>
    <x v="10"/>
    <x v="0"/>
    <x v="2"/>
    <x v="0"/>
    <x v="1"/>
    <x v="0"/>
    <x v="0"/>
    <n v="3"/>
    <x v="4"/>
    <x v="5"/>
  </r>
  <r>
    <n v="685"/>
    <x v="6"/>
    <x v="0"/>
    <x v="19"/>
    <x v="3"/>
    <n v="82"/>
    <s v="Alabama"/>
    <x v="2"/>
    <x v="22"/>
    <x v="2"/>
    <x v="10"/>
    <x v="0"/>
    <x v="0"/>
    <x v="0"/>
    <x v="0"/>
    <n v="42"/>
    <x v="5"/>
    <x v="5"/>
  </r>
  <r>
    <n v="686"/>
    <x v="27"/>
    <x v="0"/>
    <x v="0"/>
    <x v="0"/>
    <n v="71"/>
    <s v="Massachusetts"/>
    <x v="3"/>
    <x v="23"/>
    <x v="0"/>
    <x v="1"/>
    <x v="0"/>
    <x v="3"/>
    <x v="0"/>
    <x v="0"/>
    <n v="32"/>
    <x v="1"/>
    <x v="0"/>
  </r>
  <r>
    <n v="687"/>
    <x v="27"/>
    <x v="0"/>
    <x v="1"/>
    <x v="0"/>
    <n v="35"/>
    <s v="Indiana"/>
    <x v="0"/>
    <x v="19"/>
    <x v="3"/>
    <x v="21"/>
    <x v="0"/>
    <x v="4"/>
    <x v="0"/>
    <x v="0"/>
    <n v="33"/>
    <x v="0"/>
    <x v="0"/>
  </r>
  <r>
    <n v="688"/>
    <x v="1"/>
    <x v="0"/>
    <x v="24"/>
    <x v="3"/>
    <n v="38"/>
    <s v="West Virginia"/>
    <x v="3"/>
    <x v="2"/>
    <x v="0"/>
    <x v="13"/>
    <x v="0"/>
    <x v="1"/>
    <x v="0"/>
    <x v="0"/>
    <n v="46"/>
    <x v="4"/>
    <x v="3"/>
  </r>
  <r>
    <n v="689"/>
    <x v="15"/>
    <x v="0"/>
    <x v="18"/>
    <x v="3"/>
    <n v="59"/>
    <s v="Michigan"/>
    <x v="1"/>
    <x v="15"/>
    <x v="2"/>
    <x v="10"/>
    <x v="0"/>
    <x v="5"/>
    <x v="0"/>
    <x v="0"/>
    <n v="44"/>
    <x v="0"/>
    <x v="5"/>
  </r>
  <r>
    <n v="690"/>
    <x v="1"/>
    <x v="0"/>
    <x v="15"/>
    <x v="0"/>
    <n v="91"/>
    <s v="Pennsylvania"/>
    <x v="2"/>
    <x v="20"/>
    <x v="2"/>
    <x v="10"/>
    <x v="0"/>
    <x v="0"/>
    <x v="0"/>
    <x v="0"/>
    <n v="35"/>
    <x v="2"/>
    <x v="6"/>
  </r>
  <r>
    <n v="691"/>
    <x v="15"/>
    <x v="0"/>
    <x v="6"/>
    <x v="0"/>
    <n v="68"/>
    <s v="Alaska"/>
    <x v="3"/>
    <x v="16"/>
    <x v="1"/>
    <x v="6"/>
    <x v="0"/>
    <x v="3"/>
    <x v="0"/>
    <x v="0"/>
    <n v="45"/>
    <x v="4"/>
    <x v="1"/>
  </r>
  <r>
    <n v="692"/>
    <x v="52"/>
    <x v="0"/>
    <x v="21"/>
    <x v="3"/>
    <n v="21"/>
    <s v="Massachusetts"/>
    <x v="0"/>
    <x v="5"/>
    <x v="2"/>
    <x v="3"/>
    <x v="0"/>
    <x v="3"/>
    <x v="0"/>
    <x v="0"/>
    <n v="37"/>
    <x v="3"/>
    <x v="4"/>
  </r>
  <r>
    <n v="693"/>
    <x v="25"/>
    <x v="0"/>
    <x v="12"/>
    <x v="3"/>
    <n v="95"/>
    <s v="North Dakota"/>
    <x v="2"/>
    <x v="17"/>
    <x v="1"/>
    <x v="17"/>
    <x v="0"/>
    <x v="4"/>
    <x v="0"/>
    <x v="0"/>
    <n v="40"/>
    <x v="5"/>
    <x v="6"/>
  </r>
  <r>
    <n v="694"/>
    <x v="5"/>
    <x v="0"/>
    <x v="6"/>
    <x v="0"/>
    <n v="52"/>
    <s v="Vermont"/>
    <x v="0"/>
    <x v="2"/>
    <x v="1"/>
    <x v="0"/>
    <x v="0"/>
    <x v="1"/>
    <x v="0"/>
    <x v="0"/>
    <n v="30"/>
    <x v="1"/>
    <x v="6"/>
  </r>
  <r>
    <n v="695"/>
    <x v="38"/>
    <x v="0"/>
    <x v="10"/>
    <x v="0"/>
    <n v="21"/>
    <s v="Kentucky"/>
    <x v="1"/>
    <x v="4"/>
    <x v="3"/>
    <x v="1"/>
    <x v="0"/>
    <x v="4"/>
    <x v="0"/>
    <x v="0"/>
    <n v="38"/>
    <x v="0"/>
    <x v="6"/>
  </r>
  <r>
    <n v="696"/>
    <x v="11"/>
    <x v="0"/>
    <x v="6"/>
    <x v="0"/>
    <n v="67"/>
    <s v="Nevada"/>
    <x v="3"/>
    <x v="15"/>
    <x v="2"/>
    <x v="18"/>
    <x v="0"/>
    <x v="2"/>
    <x v="0"/>
    <x v="0"/>
    <n v="15"/>
    <x v="5"/>
    <x v="6"/>
  </r>
  <r>
    <n v="697"/>
    <x v="42"/>
    <x v="0"/>
    <x v="22"/>
    <x v="3"/>
    <n v="42"/>
    <s v="Utah"/>
    <x v="0"/>
    <x v="14"/>
    <x v="3"/>
    <x v="11"/>
    <x v="0"/>
    <x v="3"/>
    <x v="0"/>
    <x v="0"/>
    <n v="49"/>
    <x v="1"/>
    <x v="5"/>
  </r>
  <r>
    <n v="698"/>
    <x v="12"/>
    <x v="0"/>
    <x v="18"/>
    <x v="3"/>
    <n v="63"/>
    <s v="North Dakota"/>
    <x v="3"/>
    <x v="18"/>
    <x v="2"/>
    <x v="12"/>
    <x v="0"/>
    <x v="1"/>
    <x v="0"/>
    <x v="0"/>
    <n v="40"/>
    <x v="5"/>
    <x v="3"/>
  </r>
  <r>
    <n v="699"/>
    <x v="0"/>
    <x v="0"/>
    <x v="23"/>
    <x v="1"/>
    <n v="41"/>
    <s v="Iowa"/>
    <x v="2"/>
    <x v="22"/>
    <x v="0"/>
    <x v="22"/>
    <x v="0"/>
    <x v="3"/>
    <x v="0"/>
    <x v="0"/>
    <n v="40"/>
    <x v="5"/>
    <x v="1"/>
  </r>
  <r>
    <n v="700"/>
    <x v="2"/>
    <x v="0"/>
    <x v="8"/>
    <x v="3"/>
    <n v="46"/>
    <s v="Connecticut"/>
    <x v="2"/>
    <x v="4"/>
    <x v="3"/>
    <x v="5"/>
    <x v="0"/>
    <x v="4"/>
    <x v="0"/>
    <x v="0"/>
    <n v="5"/>
    <x v="3"/>
    <x v="1"/>
  </r>
  <r>
    <n v="701"/>
    <x v="9"/>
    <x v="0"/>
    <x v="13"/>
    <x v="0"/>
    <n v="79"/>
    <s v="Wisconsin"/>
    <x v="0"/>
    <x v="8"/>
    <x v="0"/>
    <x v="7"/>
    <x v="0"/>
    <x v="3"/>
    <x v="0"/>
    <x v="0"/>
    <n v="5"/>
    <x v="3"/>
    <x v="5"/>
  </r>
  <r>
    <n v="702"/>
    <x v="47"/>
    <x v="0"/>
    <x v="23"/>
    <x v="1"/>
    <n v="90"/>
    <s v="Idaho"/>
    <x v="0"/>
    <x v="16"/>
    <x v="3"/>
    <x v="13"/>
    <x v="0"/>
    <x v="2"/>
    <x v="0"/>
    <x v="0"/>
    <n v="5"/>
    <x v="5"/>
    <x v="6"/>
  </r>
  <r>
    <n v="703"/>
    <x v="20"/>
    <x v="0"/>
    <x v="5"/>
    <x v="0"/>
    <n v="71"/>
    <s v="Montana"/>
    <x v="2"/>
    <x v="3"/>
    <x v="0"/>
    <x v="23"/>
    <x v="0"/>
    <x v="5"/>
    <x v="0"/>
    <x v="0"/>
    <n v="1"/>
    <x v="1"/>
    <x v="1"/>
  </r>
  <r>
    <n v="704"/>
    <x v="6"/>
    <x v="0"/>
    <x v="10"/>
    <x v="0"/>
    <n v="87"/>
    <s v="Connecticut"/>
    <x v="0"/>
    <x v="6"/>
    <x v="2"/>
    <x v="21"/>
    <x v="0"/>
    <x v="3"/>
    <x v="0"/>
    <x v="0"/>
    <n v="21"/>
    <x v="0"/>
    <x v="1"/>
  </r>
  <r>
    <n v="705"/>
    <x v="50"/>
    <x v="0"/>
    <x v="15"/>
    <x v="0"/>
    <n v="66"/>
    <s v="Idaho"/>
    <x v="1"/>
    <x v="13"/>
    <x v="1"/>
    <x v="4"/>
    <x v="0"/>
    <x v="0"/>
    <x v="0"/>
    <x v="0"/>
    <n v="18"/>
    <x v="3"/>
    <x v="2"/>
  </r>
  <r>
    <n v="706"/>
    <x v="15"/>
    <x v="0"/>
    <x v="13"/>
    <x v="0"/>
    <n v="90"/>
    <s v="Arkansas"/>
    <x v="3"/>
    <x v="21"/>
    <x v="2"/>
    <x v="9"/>
    <x v="0"/>
    <x v="1"/>
    <x v="0"/>
    <x v="0"/>
    <n v="49"/>
    <x v="1"/>
    <x v="3"/>
  </r>
  <r>
    <n v="707"/>
    <x v="5"/>
    <x v="0"/>
    <x v="2"/>
    <x v="0"/>
    <n v="47"/>
    <s v="Iowa"/>
    <x v="0"/>
    <x v="2"/>
    <x v="2"/>
    <x v="6"/>
    <x v="0"/>
    <x v="0"/>
    <x v="0"/>
    <x v="0"/>
    <n v="27"/>
    <x v="5"/>
    <x v="1"/>
  </r>
  <r>
    <n v="708"/>
    <x v="35"/>
    <x v="0"/>
    <x v="5"/>
    <x v="0"/>
    <n v="38"/>
    <s v="Louisiana"/>
    <x v="0"/>
    <x v="7"/>
    <x v="1"/>
    <x v="18"/>
    <x v="0"/>
    <x v="2"/>
    <x v="0"/>
    <x v="0"/>
    <n v="21"/>
    <x v="0"/>
    <x v="2"/>
  </r>
  <r>
    <n v="709"/>
    <x v="43"/>
    <x v="0"/>
    <x v="21"/>
    <x v="3"/>
    <n v="50"/>
    <s v="Kentucky"/>
    <x v="0"/>
    <x v="19"/>
    <x v="2"/>
    <x v="23"/>
    <x v="0"/>
    <x v="5"/>
    <x v="0"/>
    <x v="0"/>
    <n v="19"/>
    <x v="1"/>
    <x v="0"/>
  </r>
  <r>
    <n v="710"/>
    <x v="34"/>
    <x v="0"/>
    <x v="14"/>
    <x v="2"/>
    <n v="79"/>
    <s v="Massachusetts"/>
    <x v="0"/>
    <x v="4"/>
    <x v="2"/>
    <x v="12"/>
    <x v="0"/>
    <x v="3"/>
    <x v="0"/>
    <x v="0"/>
    <n v="23"/>
    <x v="5"/>
    <x v="5"/>
  </r>
  <r>
    <n v="711"/>
    <x v="40"/>
    <x v="0"/>
    <x v="18"/>
    <x v="3"/>
    <n v="91"/>
    <s v="Virginia"/>
    <x v="0"/>
    <x v="2"/>
    <x v="1"/>
    <x v="7"/>
    <x v="0"/>
    <x v="3"/>
    <x v="0"/>
    <x v="0"/>
    <n v="26"/>
    <x v="3"/>
    <x v="0"/>
  </r>
  <r>
    <n v="712"/>
    <x v="14"/>
    <x v="0"/>
    <x v="23"/>
    <x v="1"/>
    <n v="60"/>
    <s v="New Hampshire"/>
    <x v="2"/>
    <x v="1"/>
    <x v="1"/>
    <x v="1"/>
    <x v="0"/>
    <x v="4"/>
    <x v="0"/>
    <x v="0"/>
    <n v="13"/>
    <x v="4"/>
    <x v="4"/>
  </r>
  <r>
    <n v="713"/>
    <x v="32"/>
    <x v="0"/>
    <x v="0"/>
    <x v="0"/>
    <n v="81"/>
    <s v="New Hampshire"/>
    <x v="3"/>
    <x v="13"/>
    <x v="2"/>
    <x v="22"/>
    <x v="0"/>
    <x v="2"/>
    <x v="0"/>
    <x v="0"/>
    <n v="36"/>
    <x v="4"/>
    <x v="3"/>
  </r>
  <r>
    <n v="714"/>
    <x v="43"/>
    <x v="0"/>
    <x v="15"/>
    <x v="0"/>
    <n v="90"/>
    <s v="Oregon"/>
    <x v="2"/>
    <x v="12"/>
    <x v="2"/>
    <x v="5"/>
    <x v="0"/>
    <x v="0"/>
    <x v="0"/>
    <x v="0"/>
    <n v="39"/>
    <x v="4"/>
    <x v="4"/>
  </r>
  <r>
    <n v="715"/>
    <x v="8"/>
    <x v="0"/>
    <x v="14"/>
    <x v="2"/>
    <n v="70"/>
    <s v="South Dakota"/>
    <x v="2"/>
    <x v="23"/>
    <x v="3"/>
    <x v="14"/>
    <x v="0"/>
    <x v="5"/>
    <x v="0"/>
    <x v="0"/>
    <n v="40"/>
    <x v="5"/>
    <x v="0"/>
  </r>
  <r>
    <n v="716"/>
    <x v="23"/>
    <x v="0"/>
    <x v="2"/>
    <x v="0"/>
    <n v="63"/>
    <s v="Delaware"/>
    <x v="0"/>
    <x v="14"/>
    <x v="1"/>
    <x v="5"/>
    <x v="0"/>
    <x v="0"/>
    <x v="0"/>
    <x v="0"/>
    <n v="37"/>
    <x v="5"/>
    <x v="3"/>
  </r>
  <r>
    <n v="717"/>
    <x v="11"/>
    <x v="0"/>
    <x v="16"/>
    <x v="3"/>
    <n v="29"/>
    <s v="Missouri"/>
    <x v="2"/>
    <x v="8"/>
    <x v="1"/>
    <x v="15"/>
    <x v="0"/>
    <x v="0"/>
    <x v="0"/>
    <x v="0"/>
    <n v="9"/>
    <x v="0"/>
    <x v="4"/>
  </r>
  <r>
    <n v="718"/>
    <x v="3"/>
    <x v="0"/>
    <x v="20"/>
    <x v="0"/>
    <n v="90"/>
    <s v="Alaska"/>
    <x v="0"/>
    <x v="14"/>
    <x v="1"/>
    <x v="19"/>
    <x v="0"/>
    <x v="0"/>
    <x v="0"/>
    <x v="0"/>
    <n v="7"/>
    <x v="0"/>
    <x v="6"/>
  </r>
  <r>
    <n v="719"/>
    <x v="40"/>
    <x v="0"/>
    <x v="5"/>
    <x v="0"/>
    <n v="22"/>
    <s v="Florida"/>
    <x v="2"/>
    <x v="15"/>
    <x v="2"/>
    <x v="12"/>
    <x v="0"/>
    <x v="3"/>
    <x v="0"/>
    <x v="0"/>
    <n v="25"/>
    <x v="4"/>
    <x v="2"/>
  </r>
  <r>
    <n v="720"/>
    <x v="6"/>
    <x v="0"/>
    <x v="6"/>
    <x v="0"/>
    <n v="22"/>
    <s v="Mississippi"/>
    <x v="0"/>
    <x v="2"/>
    <x v="2"/>
    <x v="13"/>
    <x v="0"/>
    <x v="2"/>
    <x v="0"/>
    <x v="0"/>
    <n v="42"/>
    <x v="0"/>
    <x v="4"/>
  </r>
  <r>
    <n v="721"/>
    <x v="23"/>
    <x v="0"/>
    <x v="16"/>
    <x v="3"/>
    <n v="62"/>
    <s v="New Mexico"/>
    <x v="0"/>
    <x v="20"/>
    <x v="3"/>
    <x v="23"/>
    <x v="0"/>
    <x v="1"/>
    <x v="0"/>
    <x v="0"/>
    <n v="19"/>
    <x v="5"/>
    <x v="1"/>
  </r>
  <r>
    <n v="722"/>
    <x v="49"/>
    <x v="0"/>
    <x v="0"/>
    <x v="0"/>
    <n v="57"/>
    <s v="California"/>
    <x v="0"/>
    <x v="5"/>
    <x v="2"/>
    <x v="14"/>
    <x v="0"/>
    <x v="2"/>
    <x v="0"/>
    <x v="0"/>
    <n v="41"/>
    <x v="5"/>
    <x v="6"/>
  </r>
  <r>
    <n v="723"/>
    <x v="7"/>
    <x v="0"/>
    <x v="1"/>
    <x v="0"/>
    <n v="32"/>
    <s v="Wyoming"/>
    <x v="1"/>
    <x v="24"/>
    <x v="2"/>
    <x v="24"/>
    <x v="0"/>
    <x v="5"/>
    <x v="0"/>
    <x v="0"/>
    <n v="50"/>
    <x v="1"/>
    <x v="4"/>
  </r>
  <r>
    <n v="724"/>
    <x v="25"/>
    <x v="0"/>
    <x v="16"/>
    <x v="3"/>
    <n v="53"/>
    <s v="Missouri"/>
    <x v="0"/>
    <x v="17"/>
    <x v="3"/>
    <x v="1"/>
    <x v="0"/>
    <x v="0"/>
    <x v="0"/>
    <x v="0"/>
    <n v="43"/>
    <x v="3"/>
    <x v="5"/>
  </r>
  <r>
    <n v="725"/>
    <x v="43"/>
    <x v="0"/>
    <x v="17"/>
    <x v="0"/>
    <n v="79"/>
    <s v="New Hampshire"/>
    <x v="3"/>
    <x v="14"/>
    <x v="3"/>
    <x v="10"/>
    <x v="0"/>
    <x v="5"/>
    <x v="0"/>
    <x v="0"/>
    <n v="36"/>
    <x v="0"/>
    <x v="6"/>
  </r>
  <r>
    <n v="726"/>
    <x v="12"/>
    <x v="0"/>
    <x v="19"/>
    <x v="3"/>
    <n v="61"/>
    <s v="Texas"/>
    <x v="0"/>
    <x v="5"/>
    <x v="0"/>
    <x v="0"/>
    <x v="0"/>
    <x v="3"/>
    <x v="0"/>
    <x v="0"/>
    <n v="33"/>
    <x v="5"/>
    <x v="0"/>
  </r>
  <r>
    <n v="727"/>
    <x v="45"/>
    <x v="0"/>
    <x v="6"/>
    <x v="0"/>
    <n v="78"/>
    <s v="North Dakota"/>
    <x v="0"/>
    <x v="22"/>
    <x v="2"/>
    <x v="15"/>
    <x v="0"/>
    <x v="2"/>
    <x v="0"/>
    <x v="0"/>
    <n v="20"/>
    <x v="4"/>
    <x v="6"/>
  </r>
  <r>
    <n v="728"/>
    <x v="46"/>
    <x v="0"/>
    <x v="1"/>
    <x v="0"/>
    <n v="97"/>
    <s v="Arkansas"/>
    <x v="1"/>
    <x v="0"/>
    <x v="0"/>
    <x v="6"/>
    <x v="0"/>
    <x v="2"/>
    <x v="0"/>
    <x v="0"/>
    <n v="37"/>
    <x v="0"/>
    <x v="6"/>
  </r>
  <r>
    <n v="729"/>
    <x v="26"/>
    <x v="0"/>
    <x v="2"/>
    <x v="0"/>
    <n v="78"/>
    <s v="Nebraska"/>
    <x v="2"/>
    <x v="6"/>
    <x v="0"/>
    <x v="18"/>
    <x v="0"/>
    <x v="2"/>
    <x v="0"/>
    <x v="0"/>
    <n v="12"/>
    <x v="3"/>
    <x v="6"/>
  </r>
  <r>
    <n v="730"/>
    <x v="38"/>
    <x v="0"/>
    <x v="12"/>
    <x v="3"/>
    <n v="56"/>
    <s v="Minnesota"/>
    <x v="0"/>
    <x v="19"/>
    <x v="2"/>
    <x v="4"/>
    <x v="0"/>
    <x v="0"/>
    <x v="0"/>
    <x v="0"/>
    <n v="46"/>
    <x v="3"/>
    <x v="6"/>
  </r>
  <r>
    <n v="731"/>
    <x v="39"/>
    <x v="0"/>
    <x v="23"/>
    <x v="1"/>
    <n v="25"/>
    <s v="Massachusetts"/>
    <x v="2"/>
    <x v="21"/>
    <x v="2"/>
    <x v="20"/>
    <x v="0"/>
    <x v="3"/>
    <x v="0"/>
    <x v="0"/>
    <n v="28"/>
    <x v="0"/>
    <x v="0"/>
  </r>
  <r>
    <n v="732"/>
    <x v="49"/>
    <x v="0"/>
    <x v="7"/>
    <x v="2"/>
    <n v="28"/>
    <s v="Arkansas"/>
    <x v="2"/>
    <x v="16"/>
    <x v="1"/>
    <x v="1"/>
    <x v="0"/>
    <x v="1"/>
    <x v="0"/>
    <x v="0"/>
    <n v="30"/>
    <x v="3"/>
    <x v="0"/>
  </r>
  <r>
    <n v="733"/>
    <x v="50"/>
    <x v="0"/>
    <x v="5"/>
    <x v="0"/>
    <n v="57"/>
    <s v="New Hampshire"/>
    <x v="0"/>
    <x v="24"/>
    <x v="1"/>
    <x v="11"/>
    <x v="0"/>
    <x v="0"/>
    <x v="0"/>
    <x v="0"/>
    <n v="28"/>
    <x v="1"/>
    <x v="4"/>
  </r>
  <r>
    <n v="734"/>
    <x v="4"/>
    <x v="0"/>
    <x v="10"/>
    <x v="0"/>
    <n v="36"/>
    <s v="Rhode Island"/>
    <x v="0"/>
    <x v="17"/>
    <x v="3"/>
    <x v="2"/>
    <x v="0"/>
    <x v="4"/>
    <x v="0"/>
    <x v="0"/>
    <n v="20"/>
    <x v="5"/>
    <x v="4"/>
  </r>
  <r>
    <n v="735"/>
    <x v="13"/>
    <x v="0"/>
    <x v="5"/>
    <x v="0"/>
    <n v="69"/>
    <s v="New Jersey"/>
    <x v="1"/>
    <x v="10"/>
    <x v="0"/>
    <x v="0"/>
    <x v="0"/>
    <x v="0"/>
    <x v="0"/>
    <x v="0"/>
    <n v="39"/>
    <x v="4"/>
    <x v="6"/>
  </r>
  <r>
    <n v="736"/>
    <x v="12"/>
    <x v="0"/>
    <x v="12"/>
    <x v="3"/>
    <n v="48"/>
    <s v="Montana"/>
    <x v="2"/>
    <x v="20"/>
    <x v="3"/>
    <x v="15"/>
    <x v="0"/>
    <x v="4"/>
    <x v="0"/>
    <x v="0"/>
    <n v="48"/>
    <x v="1"/>
    <x v="4"/>
  </r>
  <r>
    <n v="737"/>
    <x v="20"/>
    <x v="0"/>
    <x v="10"/>
    <x v="0"/>
    <n v="58"/>
    <s v="Colorado"/>
    <x v="0"/>
    <x v="1"/>
    <x v="1"/>
    <x v="3"/>
    <x v="0"/>
    <x v="4"/>
    <x v="0"/>
    <x v="0"/>
    <n v="32"/>
    <x v="2"/>
    <x v="6"/>
  </r>
  <r>
    <n v="738"/>
    <x v="36"/>
    <x v="0"/>
    <x v="12"/>
    <x v="3"/>
    <n v="24"/>
    <s v="Nebraska"/>
    <x v="2"/>
    <x v="11"/>
    <x v="1"/>
    <x v="15"/>
    <x v="0"/>
    <x v="5"/>
    <x v="0"/>
    <x v="0"/>
    <n v="28"/>
    <x v="3"/>
    <x v="2"/>
  </r>
  <r>
    <n v="739"/>
    <x v="19"/>
    <x v="0"/>
    <x v="12"/>
    <x v="3"/>
    <n v="31"/>
    <s v="Minnesota"/>
    <x v="0"/>
    <x v="20"/>
    <x v="0"/>
    <x v="1"/>
    <x v="0"/>
    <x v="4"/>
    <x v="0"/>
    <x v="0"/>
    <n v="27"/>
    <x v="0"/>
    <x v="3"/>
  </r>
  <r>
    <n v="740"/>
    <x v="14"/>
    <x v="0"/>
    <x v="6"/>
    <x v="0"/>
    <n v="29"/>
    <s v="Minnesota"/>
    <x v="1"/>
    <x v="7"/>
    <x v="2"/>
    <x v="1"/>
    <x v="0"/>
    <x v="1"/>
    <x v="0"/>
    <x v="0"/>
    <n v="26"/>
    <x v="0"/>
    <x v="4"/>
  </r>
  <r>
    <n v="741"/>
    <x v="8"/>
    <x v="0"/>
    <x v="2"/>
    <x v="0"/>
    <n v="69"/>
    <s v="South Dakota"/>
    <x v="2"/>
    <x v="20"/>
    <x v="2"/>
    <x v="11"/>
    <x v="0"/>
    <x v="2"/>
    <x v="0"/>
    <x v="0"/>
    <n v="22"/>
    <x v="2"/>
    <x v="0"/>
  </r>
  <r>
    <n v="742"/>
    <x v="40"/>
    <x v="0"/>
    <x v="17"/>
    <x v="0"/>
    <n v="79"/>
    <s v="West Virginia"/>
    <x v="3"/>
    <x v="22"/>
    <x v="2"/>
    <x v="10"/>
    <x v="0"/>
    <x v="1"/>
    <x v="0"/>
    <x v="0"/>
    <n v="23"/>
    <x v="4"/>
    <x v="6"/>
  </r>
  <r>
    <n v="743"/>
    <x v="14"/>
    <x v="0"/>
    <x v="13"/>
    <x v="0"/>
    <n v="39"/>
    <s v="Nevada"/>
    <x v="2"/>
    <x v="4"/>
    <x v="2"/>
    <x v="0"/>
    <x v="0"/>
    <x v="0"/>
    <x v="0"/>
    <x v="0"/>
    <n v="21"/>
    <x v="5"/>
    <x v="3"/>
  </r>
  <r>
    <n v="744"/>
    <x v="3"/>
    <x v="0"/>
    <x v="12"/>
    <x v="3"/>
    <n v="84"/>
    <s v="North Carolina"/>
    <x v="0"/>
    <x v="0"/>
    <x v="3"/>
    <x v="8"/>
    <x v="0"/>
    <x v="1"/>
    <x v="0"/>
    <x v="0"/>
    <n v="36"/>
    <x v="1"/>
    <x v="1"/>
  </r>
  <r>
    <n v="745"/>
    <x v="29"/>
    <x v="0"/>
    <x v="23"/>
    <x v="1"/>
    <n v="66"/>
    <s v="Illinois"/>
    <x v="1"/>
    <x v="4"/>
    <x v="1"/>
    <x v="7"/>
    <x v="0"/>
    <x v="2"/>
    <x v="0"/>
    <x v="0"/>
    <n v="42"/>
    <x v="5"/>
    <x v="4"/>
  </r>
  <r>
    <n v="746"/>
    <x v="5"/>
    <x v="0"/>
    <x v="17"/>
    <x v="0"/>
    <n v="92"/>
    <s v="Michigan"/>
    <x v="0"/>
    <x v="20"/>
    <x v="3"/>
    <x v="10"/>
    <x v="0"/>
    <x v="3"/>
    <x v="0"/>
    <x v="0"/>
    <n v="4"/>
    <x v="0"/>
    <x v="5"/>
  </r>
  <r>
    <n v="747"/>
    <x v="37"/>
    <x v="0"/>
    <x v="3"/>
    <x v="1"/>
    <n v="45"/>
    <s v="Michigan"/>
    <x v="2"/>
    <x v="16"/>
    <x v="0"/>
    <x v="25"/>
    <x v="0"/>
    <x v="1"/>
    <x v="0"/>
    <x v="0"/>
    <n v="47"/>
    <x v="2"/>
    <x v="2"/>
  </r>
  <r>
    <n v="748"/>
    <x v="47"/>
    <x v="0"/>
    <x v="6"/>
    <x v="0"/>
    <n v="74"/>
    <s v="Oklahoma"/>
    <x v="0"/>
    <x v="9"/>
    <x v="1"/>
    <x v="14"/>
    <x v="0"/>
    <x v="2"/>
    <x v="0"/>
    <x v="0"/>
    <n v="13"/>
    <x v="4"/>
    <x v="1"/>
  </r>
  <r>
    <n v="749"/>
    <x v="25"/>
    <x v="0"/>
    <x v="19"/>
    <x v="3"/>
    <n v="39"/>
    <s v="South Dakota"/>
    <x v="0"/>
    <x v="18"/>
    <x v="3"/>
    <x v="20"/>
    <x v="0"/>
    <x v="1"/>
    <x v="0"/>
    <x v="0"/>
    <n v="8"/>
    <x v="4"/>
    <x v="3"/>
  </r>
  <r>
    <n v="750"/>
    <x v="19"/>
    <x v="0"/>
    <x v="18"/>
    <x v="3"/>
    <n v="71"/>
    <s v="Oklahoma"/>
    <x v="2"/>
    <x v="8"/>
    <x v="0"/>
    <x v="18"/>
    <x v="0"/>
    <x v="3"/>
    <x v="0"/>
    <x v="0"/>
    <n v="11"/>
    <x v="5"/>
    <x v="3"/>
  </r>
  <r>
    <n v="751"/>
    <x v="15"/>
    <x v="0"/>
    <x v="17"/>
    <x v="0"/>
    <n v="95"/>
    <s v="Maryland"/>
    <x v="0"/>
    <x v="10"/>
    <x v="3"/>
    <x v="23"/>
    <x v="0"/>
    <x v="1"/>
    <x v="0"/>
    <x v="0"/>
    <n v="5"/>
    <x v="0"/>
    <x v="2"/>
  </r>
  <r>
    <n v="752"/>
    <x v="13"/>
    <x v="0"/>
    <x v="24"/>
    <x v="3"/>
    <n v="72"/>
    <s v="Ohio"/>
    <x v="0"/>
    <x v="21"/>
    <x v="3"/>
    <x v="6"/>
    <x v="0"/>
    <x v="1"/>
    <x v="0"/>
    <x v="0"/>
    <n v="1"/>
    <x v="2"/>
    <x v="5"/>
  </r>
  <r>
    <n v="753"/>
    <x v="31"/>
    <x v="0"/>
    <x v="18"/>
    <x v="3"/>
    <n v="85"/>
    <s v="Ohio"/>
    <x v="0"/>
    <x v="22"/>
    <x v="3"/>
    <x v="19"/>
    <x v="0"/>
    <x v="4"/>
    <x v="0"/>
    <x v="0"/>
    <n v="17"/>
    <x v="3"/>
    <x v="6"/>
  </r>
  <r>
    <n v="754"/>
    <x v="36"/>
    <x v="0"/>
    <x v="23"/>
    <x v="1"/>
    <n v="54"/>
    <s v="Massachusetts"/>
    <x v="2"/>
    <x v="11"/>
    <x v="3"/>
    <x v="23"/>
    <x v="0"/>
    <x v="5"/>
    <x v="0"/>
    <x v="0"/>
    <n v="27"/>
    <x v="0"/>
    <x v="3"/>
  </r>
  <r>
    <n v="755"/>
    <x v="24"/>
    <x v="0"/>
    <x v="24"/>
    <x v="3"/>
    <n v="41"/>
    <s v="North Carolina"/>
    <x v="0"/>
    <x v="6"/>
    <x v="1"/>
    <x v="3"/>
    <x v="0"/>
    <x v="5"/>
    <x v="0"/>
    <x v="0"/>
    <n v="3"/>
    <x v="5"/>
    <x v="3"/>
  </r>
  <r>
    <n v="756"/>
    <x v="17"/>
    <x v="0"/>
    <x v="7"/>
    <x v="2"/>
    <n v="24"/>
    <s v="Florida"/>
    <x v="2"/>
    <x v="10"/>
    <x v="1"/>
    <x v="13"/>
    <x v="0"/>
    <x v="1"/>
    <x v="0"/>
    <x v="0"/>
    <n v="22"/>
    <x v="3"/>
    <x v="1"/>
  </r>
  <r>
    <n v="757"/>
    <x v="46"/>
    <x v="0"/>
    <x v="22"/>
    <x v="3"/>
    <n v="99"/>
    <s v="Montana"/>
    <x v="1"/>
    <x v="20"/>
    <x v="2"/>
    <x v="6"/>
    <x v="0"/>
    <x v="3"/>
    <x v="0"/>
    <x v="0"/>
    <n v="24"/>
    <x v="1"/>
    <x v="0"/>
  </r>
  <r>
    <n v="758"/>
    <x v="38"/>
    <x v="0"/>
    <x v="15"/>
    <x v="0"/>
    <n v="32"/>
    <s v="Minnesota"/>
    <x v="2"/>
    <x v="16"/>
    <x v="3"/>
    <x v="22"/>
    <x v="0"/>
    <x v="5"/>
    <x v="0"/>
    <x v="0"/>
    <n v="18"/>
    <x v="5"/>
    <x v="3"/>
  </r>
  <r>
    <n v="759"/>
    <x v="17"/>
    <x v="0"/>
    <x v="9"/>
    <x v="1"/>
    <n v="71"/>
    <s v="Massachusetts"/>
    <x v="0"/>
    <x v="15"/>
    <x v="2"/>
    <x v="12"/>
    <x v="0"/>
    <x v="4"/>
    <x v="0"/>
    <x v="0"/>
    <n v="39"/>
    <x v="4"/>
    <x v="6"/>
  </r>
  <r>
    <n v="760"/>
    <x v="47"/>
    <x v="0"/>
    <x v="10"/>
    <x v="0"/>
    <n v="49"/>
    <s v="Rhode Island"/>
    <x v="3"/>
    <x v="14"/>
    <x v="0"/>
    <x v="5"/>
    <x v="0"/>
    <x v="2"/>
    <x v="0"/>
    <x v="0"/>
    <n v="25"/>
    <x v="2"/>
    <x v="0"/>
  </r>
  <r>
    <n v="761"/>
    <x v="23"/>
    <x v="0"/>
    <x v="24"/>
    <x v="3"/>
    <n v="50"/>
    <s v="Minnesota"/>
    <x v="3"/>
    <x v="10"/>
    <x v="3"/>
    <x v="23"/>
    <x v="0"/>
    <x v="1"/>
    <x v="0"/>
    <x v="0"/>
    <n v="6"/>
    <x v="1"/>
    <x v="2"/>
  </r>
  <r>
    <n v="762"/>
    <x v="9"/>
    <x v="0"/>
    <x v="16"/>
    <x v="3"/>
    <n v="91"/>
    <s v="Nevada"/>
    <x v="0"/>
    <x v="22"/>
    <x v="3"/>
    <x v="19"/>
    <x v="0"/>
    <x v="0"/>
    <x v="0"/>
    <x v="0"/>
    <n v="26"/>
    <x v="4"/>
    <x v="1"/>
  </r>
  <r>
    <n v="763"/>
    <x v="4"/>
    <x v="0"/>
    <x v="22"/>
    <x v="3"/>
    <n v="46"/>
    <s v="New Mexico"/>
    <x v="2"/>
    <x v="6"/>
    <x v="3"/>
    <x v="20"/>
    <x v="0"/>
    <x v="3"/>
    <x v="0"/>
    <x v="0"/>
    <n v="43"/>
    <x v="5"/>
    <x v="0"/>
  </r>
  <r>
    <n v="764"/>
    <x v="12"/>
    <x v="0"/>
    <x v="1"/>
    <x v="0"/>
    <n v="50"/>
    <s v="North Carolina"/>
    <x v="2"/>
    <x v="18"/>
    <x v="1"/>
    <x v="3"/>
    <x v="0"/>
    <x v="4"/>
    <x v="0"/>
    <x v="0"/>
    <n v="6"/>
    <x v="2"/>
    <x v="5"/>
  </r>
  <r>
    <n v="765"/>
    <x v="0"/>
    <x v="0"/>
    <x v="11"/>
    <x v="0"/>
    <n v="39"/>
    <s v="Virginia"/>
    <x v="3"/>
    <x v="5"/>
    <x v="3"/>
    <x v="19"/>
    <x v="0"/>
    <x v="1"/>
    <x v="0"/>
    <x v="0"/>
    <n v="6"/>
    <x v="5"/>
    <x v="3"/>
  </r>
  <r>
    <n v="766"/>
    <x v="22"/>
    <x v="0"/>
    <x v="4"/>
    <x v="1"/>
    <n v="99"/>
    <s v="Alaska"/>
    <x v="2"/>
    <x v="6"/>
    <x v="2"/>
    <x v="21"/>
    <x v="0"/>
    <x v="5"/>
    <x v="0"/>
    <x v="0"/>
    <n v="13"/>
    <x v="1"/>
    <x v="3"/>
  </r>
  <r>
    <n v="767"/>
    <x v="9"/>
    <x v="0"/>
    <x v="24"/>
    <x v="3"/>
    <n v="48"/>
    <s v="Nevada"/>
    <x v="2"/>
    <x v="17"/>
    <x v="0"/>
    <x v="15"/>
    <x v="0"/>
    <x v="2"/>
    <x v="0"/>
    <x v="0"/>
    <n v="13"/>
    <x v="3"/>
    <x v="5"/>
  </r>
  <r>
    <n v="768"/>
    <x v="7"/>
    <x v="0"/>
    <x v="7"/>
    <x v="2"/>
    <n v="77"/>
    <s v="Pennsylvania"/>
    <x v="2"/>
    <x v="18"/>
    <x v="3"/>
    <x v="25"/>
    <x v="0"/>
    <x v="2"/>
    <x v="0"/>
    <x v="0"/>
    <n v="11"/>
    <x v="1"/>
    <x v="2"/>
  </r>
  <r>
    <n v="769"/>
    <x v="14"/>
    <x v="0"/>
    <x v="21"/>
    <x v="3"/>
    <n v="95"/>
    <s v="Illinois"/>
    <x v="3"/>
    <x v="16"/>
    <x v="1"/>
    <x v="5"/>
    <x v="0"/>
    <x v="0"/>
    <x v="0"/>
    <x v="0"/>
    <n v="45"/>
    <x v="0"/>
    <x v="1"/>
  </r>
  <r>
    <n v="770"/>
    <x v="16"/>
    <x v="0"/>
    <x v="20"/>
    <x v="0"/>
    <n v="100"/>
    <s v="Delaware"/>
    <x v="2"/>
    <x v="5"/>
    <x v="1"/>
    <x v="24"/>
    <x v="0"/>
    <x v="5"/>
    <x v="0"/>
    <x v="0"/>
    <n v="8"/>
    <x v="3"/>
    <x v="5"/>
  </r>
  <r>
    <n v="771"/>
    <x v="1"/>
    <x v="0"/>
    <x v="4"/>
    <x v="1"/>
    <n v="54"/>
    <s v="Vermont"/>
    <x v="2"/>
    <x v="0"/>
    <x v="1"/>
    <x v="13"/>
    <x v="0"/>
    <x v="0"/>
    <x v="0"/>
    <x v="0"/>
    <n v="8"/>
    <x v="2"/>
    <x v="2"/>
  </r>
  <r>
    <n v="772"/>
    <x v="40"/>
    <x v="0"/>
    <x v="1"/>
    <x v="0"/>
    <n v="68"/>
    <s v="Hawaii"/>
    <x v="0"/>
    <x v="17"/>
    <x v="3"/>
    <x v="5"/>
    <x v="0"/>
    <x v="2"/>
    <x v="0"/>
    <x v="0"/>
    <n v="34"/>
    <x v="4"/>
    <x v="0"/>
  </r>
  <r>
    <n v="773"/>
    <x v="20"/>
    <x v="0"/>
    <x v="2"/>
    <x v="0"/>
    <n v="22"/>
    <s v="Illinois"/>
    <x v="0"/>
    <x v="11"/>
    <x v="3"/>
    <x v="15"/>
    <x v="0"/>
    <x v="1"/>
    <x v="0"/>
    <x v="0"/>
    <n v="40"/>
    <x v="5"/>
    <x v="4"/>
  </r>
  <r>
    <n v="774"/>
    <x v="26"/>
    <x v="0"/>
    <x v="19"/>
    <x v="3"/>
    <n v="84"/>
    <s v="California"/>
    <x v="0"/>
    <x v="21"/>
    <x v="0"/>
    <x v="5"/>
    <x v="0"/>
    <x v="0"/>
    <x v="0"/>
    <x v="0"/>
    <n v="14"/>
    <x v="5"/>
    <x v="4"/>
  </r>
  <r>
    <n v="775"/>
    <x v="32"/>
    <x v="0"/>
    <x v="19"/>
    <x v="3"/>
    <n v="46"/>
    <s v="Nevada"/>
    <x v="2"/>
    <x v="22"/>
    <x v="2"/>
    <x v="1"/>
    <x v="0"/>
    <x v="3"/>
    <x v="0"/>
    <x v="0"/>
    <n v="11"/>
    <x v="2"/>
    <x v="3"/>
  </r>
  <r>
    <n v="776"/>
    <x v="34"/>
    <x v="0"/>
    <x v="8"/>
    <x v="3"/>
    <n v="53"/>
    <s v="Kentucky"/>
    <x v="1"/>
    <x v="9"/>
    <x v="0"/>
    <x v="21"/>
    <x v="0"/>
    <x v="5"/>
    <x v="0"/>
    <x v="0"/>
    <n v="8"/>
    <x v="3"/>
    <x v="5"/>
  </r>
  <r>
    <n v="777"/>
    <x v="34"/>
    <x v="0"/>
    <x v="5"/>
    <x v="0"/>
    <n v="60"/>
    <s v="Alabama"/>
    <x v="2"/>
    <x v="1"/>
    <x v="1"/>
    <x v="16"/>
    <x v="0"/>
    <x v="3"/>
    <x v="0"/>
    <x v="0"/>
    <n v="8"/>
    <x v="0"/>
    <x v="6"/>
  </r>
  <r>
    <n v="778"/>
    <x v="0"/>
    <x v="0"/>
    <x v="20"/>
    <x v="0"/>
    <n v="32"/>
    <s v="Wyoming"/>
    <x v="3"/>
    <x v="5"/>
    <x v="1"/>
    <x v="25"/>
    <x v="0"/>
    <x v="0"/>
    <x v="0"/>
    <x v="0"/>
    <n v="37"/>
    <x v="0"/>
    <x v="1"/>
  </r>
  <r>
    <n v="779"/>
    <x v="26"/>
    <x v="0"/>
    <x v="20"/>
    <x v="0"/>
    <n v="50"/>
    <s v="Massachusetts"/>
    <x v="2"/>
    <x v="22"/>
    <x v="2"/>
    <x v="3"/>
    <x v="0"/>
    <x v="5"/>
    <x v="0"/>
    <x v="0"/>
    <n v="23"/>
    <x v="5"/>
    <x v="2"/>
  </r>
  <r>
    <n v="780"/>
    <x v="52"/>
    <x v="0"/>
    <x v="10"/>
    <x v="0"/>
    <n v="94"/>
    <s v="Utah"/>
    <x v="2"/>
    <x v="24"/>
    <x v="1"/>
    <x v="12"/>
    <x v="0"/>
    <x v="0"/>
    <x v="0"/>
    <x v="0"/>
    <n v="38"/>
    <x v="1"/>
    <x v="2"/>
  </r>
  <r>
    <n v="781"/>
    <x v="50"/>
    <x v="0"/>
    <x v="9"/>
    <x v="1"/>
    <n v="26"/>
    <s v="New York"/>
    <x v="2"/>
    <x v="2"/>
    <x v="1"/>
    <x v="15"/>
    <x v="0"/>
    <x v="1"/>
    <x v="0"/>
    <x v="0"/>
    <n v="38"/>
    <x v="1"/>
    <x v="3"/>
  </r>
  <r>
    <n v="782"/>
    <x v="11"/>
    <x v="0"/>
    <x v="18"/>
    <x v="3"/>
    <n v="44"/>
    <s v="Vermont"/>
    <x v="0"/>
    <x v="21"/>
    <x v="0"/>
    <x v="21"/>
    <x v="0"/>
    <x v="5"/>
    <x v="0"/>
    <x v="0"/>
    <n v="12"/>
    <x v="2"/>
    <x v="0"/>
  </r>
  <r>
    <n v="783"/>
    <x v="48"/>
    <x v="0"/>
    <x v="15"/>
    <x v="0"/>
    <n v="57"/>
    <s v="Hawaii"/>
    <x v="2"/>
    <x v="14"/>
    <x v="2"/>
    <x v="9"/>
    <x v="0"/>
    <x v="3"/>
    <x v="0"/>
    <x v="0"/>
    <n v="15"/>
    <x v="1"/>
    <x v="1"/>
  </r>
  <r>
    <n v="784"/>
    <x v="6"/>
    <x v="0"/>
    <x v="17"/>
    <x v="0"/>
    <n v="65"/>
    <s v="Louisiana"/>
    <x v="0"/>
    <x v="7"/>
    <x v="0"/>
    <x v="9"/>
    <x v="0"/>
    <x v="2"/>
    <x v="0"/>
    <x v="0"/>
    <n v="38"/>
    <x v="3"/>
    <x v="0"/>
  </r>
  <r>
    <n v="785"/>
    <x v="18"/>
    <x v="0"/>
    <x v="2"/>
    <x v="0"/>
    <n v="72"/>
    <s v="Alabama"/>
    <x v="2"/>
    <x v="15"/>
    <x v="0"/>
    <x v="4"/>
    <x v="0"/>
    <x v="5"/>
    <x v="0"/>
    <x v="0"/>
    <n v="41"/>
    <x v="4"/>
    <x v="6"/>
  </r>
  <r>
    <n v="786"/>
    <x v="5"/>
    <x v="0"/>
    <x v="6"/>
    <x v="0"/>
    <n v="62"/>
    <s v="Louisiana"/>
    <x v="1"/>
    <x v="7"/>
    <x v="1"/>
    <x v="17"/>
    <x v="0"/>
    <x v="2"/>
    <x v="0"/>
    <x v="0"/>
    <n v="37"/>
    <x v="3"/>
    <x v="0"/>
  </r>
  <r>
    <n v="787"/>
    <x v="27"/>
    <x v="0"/>
    <x v="19"/>
    <x v="3"/>
    <n v="21"/>
    <s v="Indiana"/>
    <x v="1"/>
    <x v="11"/>
    <x v="0"/>
    <x v="6"/>
    <x v="0"/>
    <x v="0"/>
    <x v="0"/>
    <x v="0"/>
    <n v="16"/>
    <x v="4"/>
    <x v="6"/>
  </r>
  <r>
    <n v="788"/>
    <x v="10"/>
    <x v="0"/>
    <x v="8"/>
    <x v="3"/>
    <n v="85"/>
    <s v="Michigan"/>
    <x v="1"/>
    <x v="14"/>
    <x v="1"/>
    <x v="18"/>
    <x v="0"/>
    <x v="1"/>
    <x v="0"/>
    <x v="0"/>
    <n v="25"/>
    <x v="0"/>
    <x v="1"/>
  </r>
  <r>
    <n v="789"/>
    <x v="2"/>
    <x v="0"/>
    <x v="13"/>
    <x v="0"/>
    <n v="51"/>
    <s v="Rhode Island"/>
    <x v="3"/>
    <x v="22"/>
    <x v="2"/>
    <x v="22"/>
    <x v="0"/>
    <x v="5"/>
    <x v="0"/>
    <x v="0"/>
    <n v="18"/>
    <x v="4"/>
    <x v="3"/>
  </r>
  <r>
    <n v="790"/>
    <x v="23"/>
    <x v="0"/>
    <x v="8"/>
    <x v="3"/>
    <n v="84"/>
    <s v="Idaho"/>
    <x v="1"/>
    <x v="7"/>
    <x v="3"/>
    <x v="2"/>
    <x v="0"/>
    <x v="3"/>
    <x v="0"/>
    <x v="0"/>
    <n v="4"/>
    <x v="2"/>
    <x v="4"/>
  </r>
  <r>
    <n v="791"/>
    <x v="40"/>
    <x v="0"/>
    <x v="1"/>
    <x v="0"/>
    <n v="37"/>
    <s v="Louisiana"/>
    <x v="2"/>
    <x v="21"/>
    <x v="2"/>
    <x v="8"/>
    <x v="0"/>
    <x v="5"/>
    <x v="0"/>
    <x v="0"/>
    <n v="12"/>
    <x v="4"/>
    <x v="3"/>
  </r>
  <r>
    <n v="792"/>
    <x v="2"/>
    <x v="0"/>
    <x v="18"/>
    <x v="3"/>
    <n v="44"/>
    <s v="North Carolina"/>
    <x v="1"/>
    <x v="23"/>
    <x v="2"/>
    <x v="0"/>
    <x v="0"/>
    <x v="4"/>
    <x v="0"/>
    <x v="0"/>
    <n v="35"/>
    <x v="3"/>
    <x v="0"/>
  </r>
  <r>
    <n v="793"/>
    <x v="50"/>
    <x v="0"/>
    <x v="4"/>
    <x v="1"/>
    <n v="45"/>
    <s v="New Jersey"/>
    <x v="2"/>
    <x v="10"/>
    <x v="1"/>
    <x v="19"/>
    <x v="0"/>
    <x v="2"/>
    <x v="0"/>
    <x v="0"/>
    <n v="45"/>
    <x v="0"/>
    <x v="1"/>
  </r>
  <r>
    <n v="794"/>
    <x v="41"/>
    <x v="0"/>
    <x v="13"/>
    <x v="0"/>
    <n v="35"/>
    <s v="Alabama"/>
    <x v="0"/>
    <x v="1"/>
    <x v="2"/>
    <x v="22"/>
    <x v="0"/>
    <x v="1"/>
    <x v="0"/>
    <x v="0"/>
    <n v="16"/>
    <x v="2"/>
    <x v="5"/>
  </r>
  <r>
    <n v="795"/>
    <x v="28"/>
    <x v="0"/>
    <x v="21"/>
    <x v="3"/>
    <n v="50"/>
    <s v="Kentucky"/>
    <x v="3"/>
    <x v="22"/>
    <x v="0"/>
    <x v="19"/>
    <x v="0"/>
    <x v="5"/>
    <x v="0"/>
    <x v="0"/>
    <n v="10"/>
    <x v="5"/>
    <x v="0"/>
  </r>
  <r>
    <n v="796"/>
    <x v="31"/>
    <x v="0"/>
    <x v="3"/>
    <x v="1"/>
    <n v="26"/>
    <s v="New York"/>
    <x v="2"/>
    <x v="19"/>
    <x v="2"/>
    <x v="12"/>
    <x v="0"/>
    <x v="5"/>
    <x v="0"/>
    <x v="0"/>
    <n v="34"/>
    <x v="0"/>
    <x v="2"/>
  </r>
  <r>
    <n v="797"/>
    <x v="32"/>
    <x v="0"/>
    <x v="20"/>
    <x v="0"/>
    <n v="78"/>
    <s v="Arizona"/>
    <x v="3"/>
    <x v="13"/>
    <x v="3"/>
    <x v="17"/>
    <x v="0"/>
    <x v="4"/>
    <x v="0"/>
    <x v="0"/>
    <n v="43"/>
    <x v="2"/>
    <x v="2"/>
  </r>
  <r>
    <n v="798"/>
    <x v="32"/>
    <x v="0"/>
    <x v="7"/>
    <x v="2"/>
    <n v="82"/>
    <s v="Maryland"/>
    <x v="2"/>
    <x v="10"/>
    <x v="3"/>
    <x v="17"/>
    <x v="0"/>
    <x v="4"/>
    <x v="0"/>
    <x v="0"/>
    <n v="38"/>
    <x v="5"/>
    <x v="1"/>
  </r>
  <r>
    <n v="799"/>
    <x v="26"/>
    <x v="0"/>
    <x v="20"/>
    <x v="0"/>
    <n v="39"/>
    <s v="Alaska"/>
    <x v="2"/>
    <x v="10"/>
    <x v="1"/>
    <x v="22"/>
    <x v="0"/>
    <x v="4"/>
    <x v="0"/>
    <x v="0"/>
    <n v="48"/>
    <x v="3"/>
    <x v="6"/>
  </r>
  <r>
    <n v="800"/>
    <x v="0"/>
    <x v="0"/>
    <x v="22"/>
    <x v="3"/>
    <n v="55"/>
    <s v="Nevada"/>
    <x v="0"/>
    <x v="18"/>
    <x v="2"/>
    <x v="13"/>
    <x v="0"/>
    <x v="1"/>
    <x v="0"/>
    <x v="0"/>
    <n v="31"/>
    <x v="3"/>
    <x v="2"/>
  </r>
  <r>
    <n v="801"/>
    <x v="45"/>
    <x v="0"/>
    <x v="20"/>
    <x v="0"/>
    <n v="20"/>
    <s v="Utah"/>
    <x v="1"/>
    <x v="9"/>
    <x v="2"/>
    <x v="5"/>
    <x v="0"/>
    <x v="1"/>
    <x v="0"/>
    <x v="0"/>
    <n v="20"/>
    <x v="1"/>
    <x v="6"/>
  </r>
  <r>
    <n v="802"/>
    <x v="15"/>
    <x v="0"/>
    <x v="22"/>
    <x v="3"/>
    <n v="29"/>
    <s v="New Mexico"/>
    <x v="0"/>
    <x v="24"/>
    <x v="3"/>
    <x v="8"/>
    <x v="0"/>
    <x v="0"/>
    <x v="0"/>
    <x v="0"/>
    <n v="12"/>
    <x v="2"/>
    <x v="0"/>
  </r>
  <r>
    <n v="803"/>
    <x v="21"/>
    <x v="0"/>
    <x v="13"/>
    <x v="0"/>
    <n v="41"/>
    <s v="Delaware"/>
    <x v="2"/>
    <x v="11"/>
    <x v="0"/>
    <x v="1"/>
    <x v="0"/>
    <x v="2"/>
    <x v="0"/>
    <x v="0"/>
    <n v="2"/>
    <x v="4"/>
    <x v="1"/>
  </r>
  <r>
    <n v="804"/>
    <x v="45"/>
    <x v="0"/>
    <x v="6"/>
    <x v="0"/>
    <n v="38"/>
    <s v="Connecticut"/>
    <x v="0"/>
    <x v="5"/>
    <x v="0"/>
    <x v="11"/>
    <x v="0"/>
    <x v="0"/>
    <x v="0"/>
    <x v="0"/>
    <n v="30"/>
    <x v="0"/>
    <x v="6"/>
  </r>
  <r>
    <n v="805"/>
    <x v="49"/>
    <x v="0"/>
    <x v="23"/>
    <x v="1"/>
    <n v="47"/>
    <s v="Mississippi"/>
    <x v="2"/>
    <x v="1"/>
    <x v="2"/>
    <x v="5"/>
    <x v="0"/>
    <x v="5"/>
    <x v="0"/>
    <x v="0"/>
    <n v="28"/>
    <x v="0"/>
    <x v="3"/>
  </r>
  <r>
    <n v="806"/>
    <x v="38"/>
    <x v="0"/>
    <x v="10"/>
    <x v="0"/>
    <n v="30"/>
    <s v="Connecticut"/>
    <x v="0"/>
    <x v="3"/>
    <x v="2"/>
    <x v="18"/>
    <x v="0"/>
    <x v="2"/>
    <x v="0"/>
    <x v="0"/>
    <n v="40"/>
    <x v="5"/>
    <x v="5"/>
  </r>
  <r>
    <n v="807"/>
    <x v="19"/>
    <x v="0"/>
    <x v="2"/>
    <x v="0"/>
    <n v="56"/>
    <s v="Florida"/>
    <x v="0"/>
    <x v="4"/>
    <x v="2"/>
    <x v="2"/>
    <x v="0"/>
    <x v="3"/>
    <x v="0"/>
    <x v="0"/>
    <n v="46"/>
    <x v="3"/>
    <x v="3"/>
  </r>
  <r>
    <n v="808"/>
    <x v="7"/>
    <x v="0"/>
    <x v="17"/>
    <x v="0"/>
    <n v="89"/>
    <s v="New York"/>
    <x v="1"/>
    <x v="18"/>
    <x v="0"/>
    <x v="13"/>
    <x v="0"/>
    <x v="0"/>
    <x v="0"/>
    <x v="0"/>
    <n v="15"/>
    <x v="2"/>
    <x v="1"/>
  </r>
  <r>
    <n v="809"/>
    <x v="5"/>
    <x v="0"/>
    <x v="9"/>
    <x v="1"/>
    <n v="96"/>
    <s v="Wisconsin"/>
    <x v="0"/>
    <x v="12"/>
    <x v="3"/>
    <x v="12"/>
    <x v="0"/>
    <x v="2"/>
    <x v="0"/>
    <x v="0"/>
    <n v="38"/>
    <x v="1"/>
    <x v="6"/>
  </r>
  <r>
    <n v="810"/>
    <x v="39"/>
    <x v="0"/>
    <x v="23"/>
    <x v="1"/>
    <n v="81"/>
    <s v="South Carolina"/>
    <x v="2"/>
    <x v="10"/>
    <x v="3"/>
    <x v="8"/>
    <x v="0"/>
    <x v="2"/>
    <x v="0"/>
    <x v="0"/>
    <n v="30"/>
    <x v="3"/>
    <x v="4"/>
  </r>
  <r>
    <n v="811"/>
    <x v="16"/>
    <x v="0"/>
    <x v="18"/>
    <x v="3"/>
    <n v="83"/>
    <s v="South Dakota"/>
    <x v="1"/>
    <x v="12"/>
    <x v="3"/>
    <x v="8"/>
    <x v="0"/>
    <x v="5"/>
    <x v="0"/>
    <x v="0"/>
    <n v="32"/>
    <x v="5"/>
    <x v="4"/>
  </r>
  <r>
    <n v="812"/>
    <x v="20"/>
    <x v="0"/>
    <x v="4"/>
    <x v="1"/>
    <n v="35"/>
    <s v="Illinois"/>
    <x v="2"/>
    <x v="14"/>
    <x v="0"/>
    <x v="2"/>
    <x v="0"/>
    <x v="1"/>
    <x v="0"/>
    <x v="0"/>
    <n v="36"/>
    <x v="0"/>
    <x v="3"/>
  </r>
  <r>
    <n v="813"/>
    <x v="14"/>
    <x v="0"/>
    <x v="23"/>
    <x v="1"/>
    <n v="56"/>
    <s v="Alaska"/>
    <x v="2"/>
    <x v="8"/>
    <x v="2"/>
    <x v="4"/>
    <x v="0"/>
    <x v="3"/>
    <x v="0"/>
    <x v="0"/>
    <n v="32"/>
    <x v="2"/>
    <x v="1"/>
  </r>
  <r>
    <n v="814"/>
    <x v="22"/>
    <x v="0"/>
    <x v="8"/>
    <x v="3"/>
    <n v="45"/>
    <s v="Montana"/>
    <x v="1"/>
    <x v="8"/>
    <x v="2"/>
    <x v="3"/>
    <x v="0"/>
    <x v="5"/>
    <x v="0"/>
    <x v="0"/>
    <n v="14"/>
    <x v="5"/>
    <x v="2"/>
  </r>
  <r>
    <n v="815"/>
    <x v="18"/>
    <x v="0"/>
    <x v="5"/>
    <x v="0"/>
    <n v="62"/>
    <s v="Minnesota"/>
    <x v="2"/>
    <x v="6"/>
    <x v="0"/>
    <x v="22"/>
    <x v="0"/>
    <x v="0"/>
    <x v="0"/>
    <x v="0"/>
    <n v="8"/>
    <x v="3"/>
    <x v="5"/>
  </r>
  <r>
    <n v="816"/>
    <x v="11"/>
    <x v="0"/>
    <x v="19"/>
    <x v="3"/>
    <n v="84"/>
    <s v="West Virginia"/>
    <x v="0"/>
    <x v="11"/>
    <x v="1"/>
    <x v="21"/>
    <x v="0"/>
    <x v="2"/>
    <x v="0"/>
    <x v="0"/>
    <n v="27"/>
    <x v="0"/>
    <x v="4"/>
  </r>
  <r>
    <n v="817"/>
    <x v="8"/>
    <x v="0"/>
    <x v="1"/>
    <x v="0"/>
    <n v="24"/>
    <s v="Illinois"/>
    <x v="0"/>
    <x v="17"/>
    <x v="2"/>
    <x v="20"/>
    <x v="0"/>
    <x v="5"/>
    <x v="0"/>
    <x v="0"/>
    <n v="24"/>
    <x v="5"/>
    <x v="5"/>
  </r>
  <r>
    <n v="818"/>
    <x v="15"/>
    <x v="0"/>
    <x v="8"/>
    <x v="3"/>
    <n v="21"/>
    <s v="Nevada"/>
    <x v="1"/>
    <x v="0"/>
    <x v="1"/>
    <x v="10"/>
    <x v="0"/>
    <x v="5"/>
    <x v="0"/>
    <x v="0"/>
    <n v="30"/>
    <x v="3"/>
    <x v="0"/>
  </r>
  <r>
    <n v="819"/>
    <x v="35"/>
    <x v="0"/>
    <x v="5"/>
    <x v="0"/>
    <n v="91"/>
    <s v="Idaho"/>
    <x v="2"/>
    <x v="15"/>
    <x v="0"/>
    <x v="8"/>
    <x v="0"/>
    <x v="5"/>
    <x v="0"/>
    <x v="0"/>
    <n v="34"/>
    <x v="5"/>
    <x v="5"/>
  </r>
  <r>
    <n v="820"/>
    <x v="0"/>
    <x v="0"/>
    <x v="12"/>
    <x v="3"/>
    <n v="36"/>
    <s v="Colorado"/>
    <x v="1"/>
    <x v="11"/>
    <x v="0"/>
    <x v="6"/>
    <x v="0"/>
    <x v="2"/>
    <x v="0"/>
    <x v="0"/>
    <n v="28"/>
    <x v="5"/>
    <x v="3"/>
  </r>
  <r>
    <n v="821"/>
    <x v="19"/>
    <x v="0"/>
    <x v="4"/>
    <x v="1"/>
    <n v="39"/>
    <s v="Louisiana"/>
    <x v="2"/>
    <x v="2"/>
    <x v="1"/>
    <x v="25"/>
    <x v="0"/>
    <x v="4"/>
    <x v="0"/>
    <x v="0"/>
    <n v="27"/>
    <x v="5"/>
    <x v="5"/>
  </r>
  <r>
    <n v="822"/>
    <x v="46"/>
    <x v="0"/>
    <x v="15"/>
    <x v="0"/>
    <n v="39"/>
    <s v="Vermont"/>
    <x v="2"/>
    <x v="14"/>
    <x v="1"/>
    <x v="20"/>
    <x v="0"/>
    <x v="3"/>
    <x v="0"/>
    <x v="0"/>
    <n v="31"/>
    <x v="2"/>
    <x v="4"/>
  </r>
  <r>
    <n v="823"/>
    <x v="25"/>
    <x v="0"/>
    <x v="5"/>
    <x v="0"/>
    <n v="59"/>
    <s v="Mississippi"/>
    <x v="0"/>
    <x v="23"/>
    <x v="0"/>
    <x v="23"/>
    <x v="0"/>
    <x v="3"/>
    <x v="0"/>
    <x v="0"/>
    <n v="23"/>
    <x v="4"/>
    <x v="2"/>
  </r>
  <r>
    <n v="824"/>
    <x v="47"/>
    <x v="0"/>
    <x v="12"/>
    <x v="3"/>
    <n v="27"/>
    <s v="Georgia"/>
    <x v="2"/>
    <x v="14"/>
    <x v="0"/>
    <x v="25"/>
    <x v="0"/>
    <x v="1"/>
    <x v="0"/>
    <x v="0"/>
    <n v="11"/>
    <x v="2"/>
    <x v="3"/>
  </r>
  <r>
    <n v="825"/>
    <x v="12"/>
    <x v="0"/>
    <x v="0"/>
    <x v="0"/>
    <n v="94"/>
    <s v="Georgia"/>
    <x v="2"/>
    <x v="3"/>
    <x v="1"/>
    <x v="21"/>
    <x v="0"/>
    <x v="5"/>
    <x v="0"/>
    <x v="0"/>
    <n v="48"/>
    <x v="1"/>
    <x v="3"/>
  </r>
  <r>
    <n v="826"/>
    <x v="7"/>
    <x v="0"/>
    <x v="22"/>
    <x v="3"/>
    <n v="94"/>
    <s v="Nebraska"/>
    <x v="3"/>
    <x v="18"/>
    <x v="3"/>
    <x v="15"/>
    <x v="0"/>
    <x v="2"/>
    <x v="0"/>
    <x v="0"/>
    <n v="17"/>
    <x v="1"/>
    <x v="5"/>
  </r>
  <r>
    <n v="827"/>
    <x v="22"/>
    <x v="0"/>
    <x v="10"/>
    <x v="0"/>
    <n v="94"/>
    <s v="Massachusetts"/>
    <x v="2"/>
    <x v="7"/>
    <x v="0"/>
    <x v="15"/>
    <x v="0"/>
    <x v="3"/>
    <x v="0"/>
    <x v="0"/>
    <n v="36"/>
    <x v="3"/>
    <x v="1"/>
  </r>
  <r>
    <n v="828"/>
    <x v="18"/>
    <x v="0"/>
    <x v="9"/>
    <x v="1"/>
    <n v="51"/>
    <s v="Colorado"/>
    <x v="1"/>
    <x v="14"/>
    <x v="3"/>
    <x v="7"/>
    <x v="0"/>
    <x v="1"/>
    <x v="0"/>
    <x v="0"/>
    <n v="33"/>
    <x v="4"/>
    <x v="0"/>
  </r>
  <r>
    <n v="829"/>
    <x v="41"/>
    <x v="0"/>
    <x v="20"/>
    <x v="0"/>
    <n v="62"/>
    <s v="Nevada"/>
    <x v="2"/>
    <x v="15"/>
    <x v="3"/>
    <x v="18"/>
    <x v="0"/>
    <x v="4"/>
    <x v="0"/>
    <x v="0"/>
    <n v="27"/>
    <x v="3"/>
    <x v="4"/>
  </r>
  <r>
    <n v="830"/>
    <x v="32"/>
    <x v="0"/>
    <x v="20"/>
    <x v="0"/>
    <n v="57"/>
    <s v="Idaho"/>
    <x v="1"/>
    <x v="5"/>
    <x v="1"/>
    <x v="0"/>
    <x v="0"/>
    <x v="4"/>
    <x v="0"/>
    <x v="0"/>
    <n v="14"/>
    <x v="2"/>
    <x v="0"/>
  </r>
  <r>
    <n v="831"/>
    <x v="38"/>
    <x v="0"/>
    <x v="6"/>
    <x v="0"/>
    <n v="76"/>
    <s v="Wyoming"/>
    <x v="2"/>
    <x v="1"/>
    <x v="3"/>
    <x v="19"/>
    <x v="0"/>
    <x v="0"/>
    <x v="0"/>
    <x v="0"/>
    <n v="5"/>
    <x v="2"/>
    <x v="2"/>
  </r>
  <r>
    <n v="832"/>
    <x v="17"/>
    <x v="0"/>
    <x v="24"/>
    <x v="3"/>
    <n v="63"/>
    <s v="Washington"/>
    <x v="2"/>
    <x v="16"/>
    <x v="2"/>
    <x v="24"/>
    <x v="0"/>
    <x v="0"/>
    <x v="0"/>
    <x v="0"/>
    <n v="47"/>
    <x v="1"/>
    <x v="6"/>
  </r>
  <r>
    <n v="833"/>
    <x v="44"/>
    <x v="0"/>
    <x v="14"/>
    <x v="2"/>
    <n v="80"/>
    <s v="California"/>
    <x v="0"/>
    <x v="24"/>
    <x v="3"/>
    <x v="25"/>
    <x v="0"/>
    <x v="0"/>
    <x v="0"/>
    <x v="0"/>
    <n v="28"/>
    <x v="1"/>
    <x v="4"/>
  </r>
  <r>
    <n v="834"/>
    <x v="49"/>
    <x v="0"/>
    <x v="8"/>
    <x v="3"/>
    <n v="68"/>
    <s v="Oklahoma"/>
    <x v="2"/>
    <x v="7"/>
    <x v="3"/>
    <x v="1"/>
    <x v="0"/>
    <x v="3"/>
    <x v="0"/>
    <x v="0"/>
    <n v="11"/>
    <x v="2"/>
    <x v="2"/>
  </r>
  <r>
    <n v="835"/>
    <x v="16"/>
    <x v="0"/>
    <x v="21"/>
    <x v="3"/>
    <n v="89"/>
    <s v="Nevada"/>
    <x v="2"/>
    <x v="21"/>
    <x v="2"/>
    <x v="0"/>
    <x v="0"/>
    <x v="1"/>
    <x v="0"/>
    <x v="0"/>
    <n v="18"/>
    <x v="2"/>
    <x v="1"/>
  </r>
  <r>
    <n v="836"/>
    <x v="25"/>
    <x v="0"/>
    <x v="23"/>
    <x v="1"/>
    <n v="26"/>
    <s v="Maryland"/>
    <x v="0"/>
    <x v="21"/>
    <x v="2"/>
    <x v="25"/>
    <x v="0"/>
    <x v="2"/>
    <x v="0"/>
    <x v="0"/>
    <n v="21"/>
    <x v="5"/>
    <x v="1"/>
  </r>
  <r>
    <n v="837"/>
    <x v="51"/>
    <x v="0"/>
    <x v="24"/>
    <x v="3"/>
    <n v="90"/>
    <s v="West Virginia"/>
    <x v="0"/>
    <x v="10"/>
    <x v="0"/>
    <x v="20"/>
    <x v="0"/>
    <x v="5"/>
    <x v="0"/>
    <x v="0"/>
    <n v="22"/>
    <x v="1"/>
    <x v="4"/>
  </r>
  <r>
    <n v="838"/>
    <x v="15"/>
    <x v="0"/>
    <x v="15"/>
    <x v="0"/>
    <n v="28"/>
    <s v="Illinois"/>
    <x v="0"/>
    <x v="18"/>
    <x v="1"/>
    <x v="8"/>
    <x v="0"/>
    <x v="0"/>
    <x v="0"/>
    <x v="0"/>
    <n v="33"/>
    <x v="1"/>
    <x v="6"/>
  </r>
  <r>
    <n v="839"/>
    <x v="23"/>
    <x v="0"/>
    <x v="7"/>
    <x v="2"/>
    <n v="29"/>
    <s v="Kentucky"/>
    <x v="2"/>
    <x v="0"/>
    <x v="1"/>
    <x v="24"/>
    <x v="0"/>
    <x v="0"/>
    <x v="0"/>
    <x v="0"/>
    <n v="49"/>
    <x v="2"/>
    <x v="2"/>
  </r>
  <r>
    <n v="840"/>
    <x v="39"/>
    <x v="0"/>
    <x v="5"/>
    <x v="0"/>
    <n v="31"/>
    <s v="Illinois"/>
    <x v="0"/>
    <x v="11"/>
    <x v="1"/>
    <x v="5"/>
    <x v="0"/>
    <x v="1"/>
    <x v="0"/>
    <x v="0"/>
    <n v="10"/>
    <x v="5"/>
    <x v="6"/>
  </r>
  <r>
    <n v="841"/>
    <x v="32"/>
    <x v="0"/>
    <x v="5"/>
    <x v="0"/>
    <n v="24"/>
    <s v="Alabama"/>
    <x v="0"/>
    <x v="11"/>
    <x v="2"/>
    <x v="19"/>
    <x v="0"/>
    <x v="4"/>
    <x v="0"/>
    <x v="0"/>
    <n v="18"/>
    <x v="3"/>
    <x v="1"/>
  </r>
  <r>
    <n v="842"/>
    <x v="0"/>
    <x v="0"/>
    <x v="1"/>
    <x v="0"/>
    <n v="88"/>
    <s v="Texas"/>
    <x v="2"/>
    <x v="19"/>
    <x v="2"/>
    <x v="5"/>
    <x v="0"/>
    <x v="5"/>
    <x v="0"/>
    <x v="0"/>
    <n v="28"/>
    <x v="3"/>
    <x v="0"/>
  </r>
  <r>
    <n v="843"/>
    <x v="35"/>
    <x v="0"/>
    <x v="5"/>
    <x v="0"/>
    <n v="87"/>
    <s v="Missouri"/>
    <x v="2"/>
    <x v="10"/>
    <x v="1"/>
    <x v="15"/>
    <x v="0"/>
    <x v="0"/>
    <x v="0"/>
    <x v="0"/>
    <n v="25"/>
    <x v="3"/>
    <x v="1"/>
  </r>
  <r>
    <n v="844"/>
    <x v="13"/>
    <x v="0"/>
    <x v="15"/>
    <x v="0"/>
    <n v="80"/>
    <s v="Pennsylvania"/>
    <x v="1"/>
    <x v="19"/>
    <x v="2"/>
    <x v="4"/>
    <x v="0"/>
    <x v="0"/>
    <x v="0"/>
    <x v="0"/>
    <n v="6"/>
    <x v="3"/>
    <x v="1"/>
  </r>
  <r>
    <n v="845"/>
    <x v="35"/>
    <x v="0"/>
    <x v="3"/>
    <x v="1"/>
    <n v="48"/>
    <s v="Missouri"/>
    <x v="0"/>
    <x v="7"/>
    <x v="0"/>
    <x v="14"/>
    <x v="0"/>
    <x v="0"/>
    <x v="0"/>
    <x v="0"/>
    <n v="44"/>
    <x v="0"/>
    <x v="4"/>
  </r>
  <r>
    <n v="846"/>
    <x v="18"/>
    <x v="0"/>
    <x v="22"/>
    <x v="3"/>
    <n v="21"/>
    <s v="Michigan"/>
    <x v="3"/>
    <x v="4"/>
    <x v="0"/>
    <x v="18"/>
    <x v="0"/>
    <x v="3"/>
    <x v="0"/>
    <x v="0"/>
    <n v="30"/>
    <x v="0"/>
    <x v="5"/>
  </r>
  <r>
    <n v="847"/>
    <x v="34"/>
    <x v="0"/>
    <x v="23"/>
    <x v="1"/>
    <n v="72"/>
    <s v="Kentucky"/>
    <x v="2"/>
    <x v="6"/>
    <x v="1"/>
    <x v="18"/>
    <x v="0"/>
    <x v="0"/>
    <x v="0"/>
    <x v="0"/>
    <n v="42"/>
    <x v="5"/>
    <x v="3"/>
  </r>
  <r>
    <n v="848"/>
    <x v="10"/>
    <x v="0"/>
    <x v="15"/>
    <x v="0"/>
    <n v="44"/>
    <s v="New Jersey"/>
    <x v="0"/>
    <x v="24"/>
    <x v="3"/>
    <x v="7"/>
    <x v="0"/>
    <x v="3"/>
    <x v="0"/>
    <x v="0"/>
    <n v="30"/>
    <x v="3"/>
    <x v="5"/>
  </r>
  <r>
    <n v="849"/>
    <x v="39"/>
    <x v="0"/>
    <x v="3"/>
    <x v="1"/>
    <n v="73"/>
    <s v="Delaware"/>
    <x v="2"/>
    <x v="12"/>
    <x v="3"/>
    <x v="15"/>
    <x v="0"/>
    <x v="5"/>
    <x v="0"/>
    <x v="0"/>
    <n v="33"/>
    <x v="2"/>
    <x v="4"/>
  </r>
  <r>
    <n v="850"/>
    <x v="51"/>
    <x v="0"/>
    <x v="2"/>
    <x v="0"/>
    <n v="61"/>
    <s v="Missouri"/>
    <x v="1"/>
    <x v="4"/>
    <x v="1"/>
    <x v="24"/>
    <x v="0"/>
    <x v="0"/>
    <x v="0"/>
    <x v="0"/>
    <n v="24"/>
    <x v="3"/>
    <x v="3"/>
  </r>
  <r>
    <n v="851"/>
    <x v="33"/>
    <x v="0"/>
    <x v="9"/>
    <x v="1"/>
    <n v="20"/>
    <s v="Connecticut"/>
    <x v="0"/>
    <x v="2"/>
    <x v="0"/>
    <x v="5"/>
    <x v="0"/>
    <x v="5"/>
    <x v="0"/>
    <x v="0"/>
    <n v="13"/>
    <x v="0"/>
    <x v="5"/>
  </r>
  <r>
    <n v="852"/>
    <x v="25"/>
    <x v="0"/>
    <x v="3"/>
    <x v="1"/>
    <n v="86"/>
    <s v="Massachusetts"/>
    <x v="2"/>
    <x v="16"/>
    <x v="2"/>
    <x v="3"/>
    <x v="0"/>
    <x v="0"/>
    <x v="0"/>
    <x v="0"/>
    <n v="19"/>
    <x v="5"/>
    <x v="5"/>
  </r>
  <r>
    <n v="853"/>
    <x v="50"/>
    <x v="0"/>
    <x v="10"/>
    <x v="0"/>
    <n v="60"/>
    <s v="Florida"/>
    <x v="0"/>
    <x v="22"/>
    <x v="1"/>
    <x v="19"/>
    <x v="0"/>
    <x v="2"/>
    <x v="0"/>
    <x v="0"/>
    <n v="23"/>
    <x v="5"/>
    <x v="6"/>
  </r>
  <r>
    <n v="854"/>
    <x v="46"/>
    <x v="0"/>
    <x v="19"/>
    <x v="3"/>
    <n v="43"/>
    <s v="Delaware"/>
    <x v="0"/>
    <x v="20"/>
    <x v="0"/>
    <x v="17"/>
    <x v="0"/>
    <x v="1"/>
    <x v="0"/>
    <x v="0"/>
    <n v="35"/>
    <x v="1"/>
    <x v="5"/>
  </r>
  <r>
    <n v="855"/>
    <x v="3"/>
    <x v="0"/>
    <x v="13"/>
    <x v="0"/>
    <n v="44"/>
    <s v="California"/>
    <x v="0"/>
    <x v="24"/>
    <x v="1"/>
    <x v="24"/>
    <x v="0"/>
    <x v="1"/>
    <x v="0"/>
    <x v="0"/>
    <n v="22"/>
    <x v="0"/>
    <x v="5"/>
  </r>
  <r>
    <n v="856"/>
    <x v="27"/>
    <x v="0"/>
    <x v="20"/>
    <x v="0"/>
    <n v="76"/>
    <s v="Oregon"/>
    <x v="0"/>
    <x v="9"/>
    <x v="1"/>
    <x v="21"/>
    <x v="0"/>
    <x v="4"/>
    <x v="0"/>
    <x v="0"/>
    <n v="14"/>
    <x v="2"/>
    <x v="3"/>
  </r>
  <r>
    <n v="857"/>
    <x v="0"/>
    <x v="0"/>
    <x v="5"/>
    <x v="0"/>
    <n v="33"/>
    <s v="Alaska"/>
    <x v="2"/>
    <x v="9"/>
    <x v="2"/>
    <x v="1"/>
    <x v="0"/>
    <x v="0"/>
    <x v="0"/>
    <x v="0"/>
    <n v="47"/>
    <x v="5"/>
    <x v="0"/>
  </r>
  <r>
    <n v="858"/>
    <x v="49"/>
    <x v="0"/>
    <x v="6"/>
    <x v="0"/>
    <n v="60"/>
    <s v="Missouri"/>
    <x v="0"/>
    <x v="17"/>
    <x v="3"/>
    <x v="21"/>
    <x v="0"/>
    <x v="3"/>
    <x v="0"/>
    <x v="0"/>
    <n v="50"/>
    <x v="5"/>
    <x v="6"/>
  </r>
  <r>
    <n v="859"/>
    <x v="1"/>
    <x v="0"/>
    <x v="14"/>
    <x v="2"/>
    <n v="26"/>
    <s v="Oklahoma"/>
    <x v="0"/>
    <x v="8"/>
    <x v="3"/>
    <x v="0"/>
    <x v="0"/>
    <x v="1"/>
    <x v="0"/>
    <x v="0"/>
    <n v="33"/>
    <x v="3"/>
    <x v="1"/>
  </r>
  <r>
    <n v="860"/>
    <x v="36"/>
    <x v="0"/>
    <x v="15"/>
    <x v="0"/>
    <n v="73"/>
    <s v="Wisconsin"/>
    <x v="2"/>
    <x v="11"/>
    <x v="0"/>
    <x v="17"/>
    <x v="0"/>
    <x v="2"/>
    <x v="0"/>
    <x v="0"/>
    <n v="7"/>
    <x v="5"/>
    <x v="5"/>
  </r>
  <r>
    <n v="861"/>
    <x v="8"/>
    <x v="0"/>
    <x v="9"/>
    <x v="1"/>
    <n v="87"/>
    <s v="South Carolina"/>
    <x v="2"/>
    <x v="1"/>
    <x v="1"/>
    <x v="7"/>
    <x v="0"/>
    <x v="3"/>
    <x v="0"/>
    <x v="0"/>
    <n v="3"/>
    <x v="1"/>
    <x v="5"/>
  </r>
  <r>
    <n v="862"/>
    <x v="5"/>
    <x v="0"/>
    <x v="11"/>
    <x v="0"/>
    <n v="100"/>
    <s v="Virginia"/>
    <x v="3"/>
    <x v="14"/>
    <x v="1"/>
    <x v="13"/>
    <x v="0"/>
    <x v="4"/>
    <x v="0"/>
    <x v="0"/>
    <n v="35"/>
    <x v="2"/>
    <x v="6"/>
  </r>
  <r>
    <n v="863"/>
    <x v="1"/>
    <x v="0"/>
    <x v="7"/>
    <x v="2"/>
    <n v="84"/>
    <s v="Arkansas"/>
    <x v="2"/>
    <x v="4"/>
    <x v="0"/>
    <x v="8"/>
    <x v="0"/>
    <x v="3"/>
    <x v="0"/>
    <x v="0"/>
    <n v="13"/>
    <x v="3"/>
    <x v="0"/>
  </r>
  <r>
    <n v="864"/>
    <x v="34"/>
    <x v="0"/>
    <x v="4"/>
    <x v="1"/>
    <n v="41"/>
    <s v="Vermont"/>
    <x v="2"/>
    <x v="17"/>
    <x v="2"/>
    <x v="20"/>
    <x v="0"/>
    <x v="3"/>
    <x v="0"/>
    <x v="0"/>
    <n v="42"/>
    <x v="3"/>
    <x v="0"/>
  </r>
  <r>
    <n v="865"/>
    <x v="47"/>
    <x v="0"/>
    <x v="2"/>
    <x v="0"/>
    <n v="59"/>
    <s v="Kentucky"/>
    <x v="1"/>
    <x v="4"/>
    <x v="0"/>
    <x v="20"/>
    <x v="0"/>
    <x v="2"/>
    <x v="0"/>
    <x v="0"/>
    <n v="5"/>
    <x v="3"/>
    <x v="2"/>
  </r>
  <r>
    <n v="866"/>
    <x v="14"/>
    <x v="0"/>
    <x v="0"/>
    <x v="0"/>
    <n v="26"/>
    <s v="Colorado"/>
    <x v="0"/>
    <x v="4"/>
    <x v="0"/>
    <x v="6"/>
    <x v="0"/>
    <x v="5"/>
    <x v="0"/>
    <x v="0"/>
    <n v="23"/>
    <x v="0"/>
    <x v="2"/>
  </r>
  <r>
    <n v="867"/>
    <x v="29"/>
    <x v="0"/>
    <x v="12"/>
    <x v="3"/>
    <n v="69"/>
    <s v="New Mexico"/>
    <x v="2"/>
    <x v="12"/>
    <x v="2"/>
    <x v="2"/>
    <x v="0"/>
    <x v="1"/>
    <x v="0"/>
    <x v="0"/>
    <n v="11"/>
    <x v="3"/>
    <x v="4"/>
  </r>
  <r>
    <n v="868"/>
    <x v="43"/>
    <x v="0"/>
    <x v="14"/>
    <x v="2"/>
    <n v="20"/>
    <s v="Colorado"/>
    <x v="2"/>
    <x v="2"/>
    <x v="1"/>
    <x v="0"/>
    <x v="0"/>
    <x v="1"/>
    <x v="0"/>
    <x v="0"/>
    <n v="23"/>
    <x v="4"/>
    <x v="0"/>
  </r>
  <r>
    <n v="869"/>
    <x v="37"/>
    <x v="0"/>
    <x v="10"/>
    <x v="0"/>
    <n v="83"/>
    <s v="North Carolina"/>
    <x v="2"/>
    <x v="14"/>
    <x v="2"/>
    <x v="4"/>
    <x v="0"/>
    <x v="2"/>
    <x v="0"/>
    <x v="0"/>
    <n v="2"/>
    <x v="2"/>
    <x v="6"/>
  </r>
  <r>
    <n v="870"/>
    <x v="21"/>
    <x v="0"/>
    <x v="19"/>
    <x v="3"/>
    <n v="54"/>
    <s v="New Hampshire"/>
    <x v="2"/>
    <x v="5"/>
    <x v="1"/>
    <x v="2"/>
    <x v="0"/>
    <x v="4"/>
    <x v="0"/>
    <x v="0"/>
    <n v="33"/>
    <x v="3"/>
    <x v="1"/>
  </r>
  <r>
    <n v="871"/>
    <x v="17"/>
    <x v="0"/>
    <x v="15"/>
    <x v="0"/>
    <n v="66"/>
    <s v="West Virginia"/>
    <x v="2"/>
    <x v="24"/>
    <x v="3"/>
    <x v="25"/>
    <x v="0"/>
    <x v="3"/>
    <x v="0"/>
    <x v="0"/>
    <n v="6"/>
    <x v="4"/>
    <x v="4"/>
  </r>
  <r>
    <n v="872"/>
    <x v="36"/>
    <x v="0"/>
    <x v="8"/>
    <x v="3"/>
    <n v="42"/>
    <s v="Hawaii"/>
    <x v="2"/>
    <x v="4"/>
    <x v="1"/>
    <x v="5"/>
    <x v="0"/>
    <x v="2"/>
    <x v="0"/>
    <x v="0"/>
    <n v="45"/>
    <x v="5"/>
    <x v="3"/>
  </r>
  <r>
    <n v="873"/>
    <x v="19"/>
    <x v="0"/>
    <x v="2"/>
    <x v="0"/>
    <n v="33"/>
    <s v="North Dakota"/>
    <x v="2"/>
    <x v="6"/>
    <x v="1"/>
    <x v="3"/>
    <x v="0"/>
    <x v="3"/>
    <x v="0"/>
    <x v="0"/>
    <n v="25"/>
    <x v="1"/>
    <x v="3"/>
  </r>
  <r>
    <n v="874"/>
    <x v="47"/>
    <x v="0"/>
    <x v="23"/>
    <x v="1"/>
    <n v="77"/>
    <s v="Mississippi"/>
    <x v="2"/>
    <x v="6"/>
    <x v="2"/>
    <x v="19"/>
    <x v="0"/>
    <x v="1"/>
    <x v="0"/>
    <x v="0"/>
    <n v="24"/>
    <x v="0"/>
    <x v="3"/>
  </r>
  <r>
    <n v="875"/>
    <x v="15"/>
    <x v="0"/>
    <x v="14"/>
    <x v="2"/>
    <n v="65"/>
    <s v="Maine"/>
    <x v="2"/>
    <x v="23"/>
    <x v="3"/>
    <x v="14"/>
    <x v="0"/>
    <x v="1"/>
    <x v="0"/>
    <x v="0"/>
    <n v="10"/>
    <x v="0"/>
    <x v="6"/>
  </r>
  <r>
    <n v="876"/>
    <x v="43"/>
    <x v="0"/>
    <x v="3"/>
    <x v="1"/>
    <n v="39"/>
    <s v="North Dakota"/>
    <x v="0"/>
    <x v="0"/>
    <x v="2"/>
    <x v="7"/>
    <x v="0"/>
    <x v="1"/>
    <x v="0"/>
    <x v="0"/>
    <n v="7"/>
    <x v="4"/>
    <x v="6"/>
  </r>
  <r>
    <n v="877"/>
    <x v="38"/>
    <x v="0"/>
    <x v="22"/>
    <x v="3"/>
    <n v="51"/>
    <s v="Nebraska"/>
    <x v="0"/>
    <x v="0"/>
    <x v="2"/>
    <x v="22"/>
    <x v="0"/>
    <x v="4"/>
    <x v="0"/>
    <x v="0"/>
    <n v="1"/>
    <x v="5"/>
    <x v="1"/>
  </r>
  <r>
    <n v="878"/>
    <x v="14"/>
    <x v="0"/>
    <x v="8"/>
    <x v="3"/>
    <n v="65"/>
    <s v="Nebraska"/>
    <x v="2"/>
    <x v="20"/>
    <x v="0"/>
    <x v="8"/>
    <x v="0"/>
    <x v="2"/>
    <x v="0"/>
    <x v="0"/>
    <n v="45"/>
    <x v="0"/>
    <x v="6"/>
  </r>
  <r>
    <n v="879"/>
    <x v="51"/>
    <x v="0"/>
    <x v="12"/>
    <x v="3"/>
    <n v="89"/>
    <s v="Tennessee"/>
    <x v="1"/>
    <x v="13"/>
    <x v="2"/>
    <x v="8"/>
    <x v="0"/>
    <x v="0"/>
    <x v="0"/>
    <x v="0"/>
    <n v="37"/>
    <x v="5"/>
    <x v="1"/>
  </r>
  <r>
    <n v="880"/>
    <x v="46"/>
    <x v="0"/>
    <x v="11"/>
    <x v="0"/>
    <n v="76"/>
    <s v="Wyoming"/>
    <x v="1"/>
    <x v="12"/>
    <x v="1"/>
    <x v="7"/>
    <x v="0"/>
    <x v="1"/>
    <x v="0"/>
    <x v="0"/>
    <n v="14"/>
    <x v="3"/>
    <x v="3"/>
  </r>
  <r>
    <n v="881"/>
    <x v="31"/>
    <x v="0"/>
    <x v="21"/>
    <x v="3"/>
    <n v="75"/>
    <s v="Nevada"/>
    <x v="0"/>
    <x v="16"/>
    <x v="1"/>
    <x v="0"/>
    <x v="0"/>
    <x v="0"/>
    <x v="0"/>
    <x v="0"/>
    <n v="25"/>
    <x v="5"/>
    <x v="5"/>
  </r>
  <r>
    <n v="882"/>
    <x v="16"/>
    <x v="0"/>
    <x v="3"/>
    <x v="1"/>
    <n v="61"/>
    <s v="South Carolina"/>
    <x v="2"/>
    <x v="5"/>
    <x v="2"/>
    <x v="2"/>
    <x v="0"/>
    <x v="2"/>
    <x v="0"/>
    <x v="0"/>
    <n v="18"/>
    <x v="0"/>
    <x v="2"/>
  </r>
  <r>
    <n v="883"/>
    <x v="2"/>
    <x v="0"/>
    <x v="23"/>
    <x v="1"/>
    <n v="35"/>
    <s v="Virginia"/>
    <x v="2"/>
    <x v="17"/>
    <x v="3"/>
    <x v="22"/>
    <x v="0"/>
    <x v="2"/>
    <x v="0"/>
    <x v="0"/>
    <n v="37"/>
    <x v="1"/>
    <x v="6"/>
  </r>
  <r>
    <n v="884"/>
    <x v="48"/>
    <x v="0"/>
    <x v="4"/>
    <x v="1"/>
    <n v="37"/>
    <s v="Pennsylvania"/>
    <x v="1"/>
    <x v="9"/>
    <x v="3"/>
    <x v="24"/>
    <x v="0"/>
    <x v="1"/>
    <x v="0"/>
    <x v="0"/>
    <n v="30"/>
    <x v="4"/>
    <x v="5"/>
  </r>
  <r>
    <n v="885"/>
    <x v="29"/>
    <x v="0"/>
    <x v="11"/>
    <x v="0"/>
    <n v="91"/>
    <s v="Hawaii"/>
    <x v="0"/>
    <x v="22"/>
    <x v="0"/>
    <x v="7"/>
    <x v="0"/>
    <x v="0"/>
    <x v="0"/>
    <x v="0"/>
    <n v="34"/>
    <x v="4"/>
    <x v="1"/>
  </r>
  <r>
    <n v="886"/>
    <x v="38"/>
    <x v="0"/>
    <x v="10"/>
    <x v="0"/>
    <n v="99"/>
    <s v="Ohio"/>
    <x v="0"/>
    <x v="7"/>
    <x v="3"/>
    <x v="14"/>
    <x v="0"/>
    <x v="1"/>
    <x v="0"/>
    <x v="0"/>
    <n v="49"/>
    <x v="5"/>
    <x v="6"/>
  </r>
  <r>
    <n v="887"/>
    <x v="1"/>
    <x v="0"/>
    <x v="6"/>
    <x v="0"/>
    <n v="54"/>
    <s v="Utah"/>
    <x v="1"/>
    <x v="18"/>
    <x v="2"/>
    <x v="15"/>
    <x v="0"/>
    <x v="0"/>
    <x v="0"/>
    <x v="0"/>
    <n v="48"/>
    <x v="4"/>
    <x v="5"/>
  </r>
  <r>
    <n v="888"/>
    <x v="27"/>
    <x v="0"/>
    <x v="8"/>
    <x v="3"/>
    <n v="47"/>
    <s v="Minnesota"/>
    <x v="0"/>
    <x v="2"/>
    <x v="0"/>
    <x v="13"/>
    <x v="0"/>
    <x v="4"/>
    <x v="0"/>
    <x v="0"/>
    <n v="33"/>
    <x v="3"/>
    <x v="0"/>
  </r>
  <r>
    <n v="889"/>
    <x v="34"/>
    <x v="0"/>
    <x v="18"/>
    <x v="3"/>
    <n v="77"/>
    <s v="New Hampshire"/>
    <x v="1"/>
    <x v="9"/>
    <x v="1"/>
    <x v="15"/>
    <x v="0"/>
    <x v="0"/>
    <x v="0"/>
    <x v="0"/>
    <n v="44"/>
    <x v="1"/>
    <x v="2"/>
  </r>
  <r>
    <n v="890"/>
    <x v="35"/>
    <x v="0"/>
    <x v="22"/>
    <x v="3"/>
    <n v="84"/>
    <s v="Arizona"/>
    <x v="1"/>
    <x v="8"/>
    <x v="3"/>
    <x v="11"/>
    <x v="0"/>
    <x v="1"/>
    <x v="0"/>
    <x v="0"/>
    <n v="50"/>
    <x v="0"/>
    <x v="1"/>
  </r>
  <r>
    <n v="891"/>
    <x v="16"/>
    <x v="0"/>
    <x v="24"/>
    <x v="3"/>
    <n v="51"/>
    <s v="New York"/>
    <x v="1"/>
    <x v="7"/>
    <x v="1"/>
    <x v="24"/>
    <x v="0"/>
    <x v="4"/>
    <x v="0"/>
    <x v="0"/>
    <n v="47"/>
    <x v="2"/>
    <x v="5"/>
  </r>
  <r>
    <n v="892"/>
    <x v="30"/>
    <x v="0"/>
    <x v="11"/>
    <x v="0"/>
    <n v="26"/>
    <s v="Pennsylvania"/>
    <x v="1"/>
    <x v="12"/>
    <x v="2"/>
    <x v="20"/>
    <x v="0"/>
    <x v="5"/>
    <x v="0"/>
    <x v="0"/>
    <n v="24"/>
    <x v="3"/>
    <x v="6"/>
  </r>
  <r>
    <n v="893"/>
    <x v="18"/>
    <x v="0"/>
    <x v="6"/>
    <x v="0"/>
    <n v="64"/>
    <s v="New Mexico"/>
    <x v="0"/>
    <x v="0"/>
    <x v="2"/>
    <x v="2"/>
    <x v="0"/>
    <x v="1"/>
    <x v="0"/>
    <x v="0"/>
    <n v="43"/>
    <x v="5"/>
    <x v="5"/>
  </r>
  <r>
    <n v="894"/>
    <x v="23"/>
    <x v="0"/>
    <x v="21"/>
    <x v="3"/>
    <n v="51"/>
    <s v="Nebraska"/>
    <x v="2"/>
    <x v="16"/>
    <x v="1"/>
    <x v="10"/>
    <x v="0"/>
    <x v="0"/>
    <x v="0"/>
    <x v="0"/>
    <n v="14"/>
    <x v="0"/>
    <x v="5"/>
  </r>
  <r>
    <n v="895"/>
    <x v="42"/>
    <x v="0"/>
    <x v="15"/>
    <x v="0"/>
    <n v="60"/>
    <s v="Wyoming"/>
    <x v="0"/>
    <x v="7"/>
    <x v="1"/>
    <x v="22"/>
    <x v="0"/>
    <x v="1"/>
    <x v="0"/>
    <x v="0"/>
    <n v="3"/>
    <x v="5"/>
    <x v="3"/>
  </r>
  <r>
    <n v="896"/>
    <x v="37"/>
    <x v="0"/>
    <x v="19"/>
    <x v="3"/>
    <n v="69"/>
    <s v="Mississippi"/>
    <x v="3"/>
    <x v="8"/>
    <x v="1"/>
    <x v="10"/>
    <x v="0"/>
    <x v="2"/>
    <x v="0"/>
    <x v="0"/>
    <n v="33"/>
    <x v="5"/>
    <x v="3"/>
  </r>
  <r>
    <n v="897"/>
    <x v="28"/>
    <x v="0"/>
    <x v="16"/>
    <x v="3"/>
    <n v="29"/>
    <s v="Arkansas"/>
    <x v="2"/>
    <x v="12"/>
    <x v="1"/>
    <x v="10"/>
    <x v="0"/>
    <x v="0"/>
    <x v="0"/>
    <x v="0"/>
    <n v="38"/>
    <x v="1"/>
    <x v="0"/>
  </r>
  <r>
    <n v="898"/>
    <x v="26"/>
    <x v="0"/>
    <x v="5"/>
    <x v="0"/>
    <n v="91"/>
    <s v="Illinois"/>
    <x v="2"/>
    <x v="0"/>
    <x v="1"/>
    <x v="23"/>
    <x v="0"/>
    <x v="0"/>
    <x v="0"/>
    <x v="0"/>
    <n v="46"/>
    <x v="0"/>
    <x v="1"/>
  </r>
  <r>
    <n v="899"/>
    <x v="22"/>
    <x v="0"/>
    <x v="22"/>
    <x v="3"/>
    <n v="70"/>
    <s v="Nevada"/>
    <x v="0"/>
    <x v="16"/>
    <x v="1"/>
    <x v="1"/>
    <x v="0"/>
    <x v="4"/>
    <x v="0"/>
    <x v="0"/>
    <n v="19"/>
    <x v="4"/>
    <x v="6"/>
  </r>
  <r>
    <n v="900"/>
    <x v="13"/>
    <x v="0"/>
    <x v="1"/>
    <x v="0"/>
    <n v="58"/>
    <s v="Rhode Island"/>
    <x v="2"/>
    <x v="15"/>
    <x v="2"/>
    <x v="17"/>
    <x v="0"/>
    <x v="3"/>
    <x v="0"/>
    <x v="0"/>
    <n v="20"/>
    <x v="3"/>
    <x v="2"/>
  </r>
  <r>
    <n v="901"/>
    <x v="22"/>
    <x v="0"/>
    <x v="19"/>
    <x v="3"/>
    <n v="98"/>
    <s v="West Virginia"/>
    <x v="0"/>
    <x v="0"/>
    <x v="3"/>
    <x v="13"/>
    <x v="0"/>
    <x v="1"/>
    <x v="0"/>
    <x v="0"/>
    <n v="42"/>
    <x v="4"/>
    <x v="3"/>
  </r>
  <r>
    <n v="902"/>
    <x v="52"/>
    <x v="0"/>
    <x v="18"/>
    <x v="3"/>
    <n v="68"/>
    <s v="Missouri"/>
    <x v="0"/>
    <x v="10"/>
    <x v="2"/>
    <x v="10"/>
    <x v="0"/>
    <x v="4"/>
    <x v="0"/>
    <x v="0"/>
    <n v="34"/>
    <x v="1"/>
    <x v="5"/>
  </r>
  <r>
    <n v="903"/>
    <x v="49"/>
    <x v="0"/>
    <x v="19"/>
    <x v="3"/>
    <n v="44"/>
    <s v="Kentucky"/>
    <x v="2"/>
    <x v="19"/>
    <x v="2"/>
    <x v="11"/>
    <x v="0"/>
    <x v="2"/>
    <x v="0"/>
    <x v="0"/>
    <n v="5"/>
    <x v="1"/>
    <x v="5"/>
  </r>
  <r>
    <n v="904"/>
    <x v="42"/>
    <x v="0"/>
    <x v="14"/>
    <x v="2"/>
    <n v="45"/>
    <s v="Washington"/>
    <x v="2"/>
    <x v="24"/>
    <x v="0"/>
    <x v="13"/>
    <x v="0"/>
    <x v="0"/>
    <x v="0"/>
    <x v="0"/>
    <n v="3"/>
    <x v="3"/>
    <x v="3"/>
  </r>
  <r>
    <n v="905"/>
    <x v="28"/>
    <x v="0"/>
    <x v="17"/>
    <x v="0"/>
    <n v="99"/>
    <s v="Alaska"/>
    <x v="0"/>
    <x v="23"/>
    <x v="1"/>
    <x v="3"/>
    <x v="0"/>
    <x v="1"/>
    <x v="0"/>
    <x v="0"/>
    <n v="46"/>
    <x v="3"/>
    <x v="6"/>
  </r>
  <r>
    <n v="906"/>
    <x v="5"/>
    <x v="0"/>
    <x v="10"/>
    <x v="0"/>
    <n v="68"/>
    <s v="Mississippi"/>
    <x v="1"/>
    <x v="17"/>
    <x v="1"/>
    <x v="11"/>
    <x v="0"/>
    <x v="3"/>
    <x v="0"/>
    <x v="0"/>
    <n v="16"/>
    <x v="0"/>
    <x v="2"/>
  </r>
  <r>
    <n v="907"/>
    <x v="38"/>
    <x v="0"/>
    <x v="13"/>
    <x v="0"/>
    <n v="56"/>
    <s v="South Carolina"/>
    <x v="2"/>
    <x v="16"/>
    <x v="1"/>
    <x v="19"/>
    <x v="0"/>
    <x v="3"/>
    <x v="0"/>
    <x v="0"/>
    <n v="21"/>
    <x v="5"/>
    <x v="4"/>
  </r>
  <r>
    <n v="908"/>
    <x v="45"/>
    <x v="0"/>
    <x v="1"/>
    <x v="0"/>
    <n v="43"/>
    <s v="Missouri"/>
    <x v="0"/>
    <x v="17"/>
    <x v="0"/>
    <x v="14"/>
    <x v="0"/>
    <x v="0"/>
    <x v="0"/>
    <x v="0"/>
    <n v="34"/>
    <x v="2"/>
    <x v="4"/>
  </r>
  <r>
    <n v="909"/>
    <x v="8"/>
    <x v="0"/>
    <x v="12"/>
    <x v="3"/>
    <n v="99"/>
    <s v="New Jersey"/>
    <x v="2"/>
    <x v="2"/>
    <x v="0"/>
    <x v="15"/>
    <x v="0"/>
    <x v="1"/>
    <x v="0"/>
    <x v="0"/>
    <n v="9"/>
    <x v="3"/>
    <x v="6"/>
  </r>
  <r>
    <n v="910"/>
    <x v="12"/>
    <x v="0"/>
    <x v="22"/>
    <x v="3"/>
    <n v="56"/>
    <s v="Louisiana"/>
    <x v="0"/>
    <x v="5"/>
    <x v="3"/>
    <x v="2"/>
    <x v="0"/>
    <x v="0"/>
    <x v="0"/>
    <x v="0"/>
    <n v="36"/>
    <x v="3"/>
    <x v="1"/>
  </r>
  <r>
    <n v="911"/>
    <x v="34"/>
    <x v="0"/>
    <x v="15"/>
    <x v="0"/>
    <n v="25"/>
    <s v="South Carolina"/>
    <x v="1"/>
    <x v="6"/>
    <x v="1"/>
    <x v="23"/>
    <x v="0"/>
    <x v="0"/>
    <x v="0"/>
    <x v="0"/>
    <n v="22"/>
    <x v="2"/>
    <x v="5"/>
  </r>
  <r>
    <n v="912"/>
    <x v="10"/>
    <x v="0"/>
    <x v="13"/>
    <x v="0"/>
    <n v="74"/>
    <s v="Vermont"/>
    <x v="2"/>
    <x v="13"/>
    <x v="0"/>
    <x v="11"/>
    <x v="0"/>
    <x v="4"/>
    <x v="0"/>
    <x v="0"/>
    <n v="2"/>
    <x v="4"/>
    <x v="3"/>
  </r>
  <r>
    <n v="913"/>
    <x v="41"/>
    <x v="0"/>
    <x v="15"/>
    <x v="0"/>
    <n v="56"/>
    <s v="Arkansas"/>
    <x v="2"/>
    <x v="14"/>
    <x v="0"/>
    <x v="23"/>
    <x v="0"/>
    <x v="2"/>
    <x v="0"/>
    <x v="0"/>
    <n v="32"/>
    <x v="4"/>
    <x v="5"/>
  </r>
  <r>
    <n v="914"/>
    <x v="43"/>
    <x v="0"/>
    <x v="4"/>
    <x v="1"/>
    <n v="47"/>
    <s v="Utah"/>
    <x v="2"/>
    <x v="22"/>
    <x v="3"/>
    <x v="5"/>
    <x v="0"/>
    <x v="2"/>
    <x v="0"/>
    <x v="0"/>
    <n v="29"/>
    <x v="1"/>
    <x v="6"/>
  </r>
  <r>
    <n v="915"/>
    <x v="49"/>
    <x v="0"/>
    <x v="10"/>
    <x v="0"/>
    <n v="67"/>
    <s v="Washington"/>
    <x v="0"/>
    <x v="7"/>
    <x v="2"/>
    <x v="7"/>
    <x v="0"/>
    <x v="3"/>
    <x v="0"/>
    <x v="0"/>
    <n v="27"/>
    <x v="0"/>
    <x v="6"/>
  </r>
  <r>
    <n v="916"/>
    <x v="18"/>
    <x v="0"/>
    <x v="10"/>
    <x v="0"/>
    <n v="22"/>
    <s v="Rhode Island"/>
    <x v="0"/>
    <x v="7"/>
    <x v="0"/>
    <x v="3"/>
    <x v="0"/>
    <x v="5"/>
    <x v="0"/>
    <x v="0"/>
    <n v="33"/>
    <x v="2"/>
    <x v="0"/>
  </r>
  <r>
    <n v="917"/>
    <x v="34"/>
    <x v="0"/>
    <x v="2"/>
    <x v="0"/>
    <n v="34"/>
    <s v="Illinois"/>
    <x v="1"/>
    <x v="24"/>
    <x v="1"/>
    <x v="2"/>
    <x v="0"/>
    <x v="3"/>
    <x v="0"/>
    <x v="0"/>
    <n v="16"/>
    <x v="0"/>
    <x v="5"/>
  </r>
  <r>
    <n v="918"/>
    <x v="28"/>
    <x v="0"/>
    <x v="1"/>
    <x v="0"/>
    <n v="64"/>
    <s v="Missouri"/>
    <x v="2"/>
    <x v="1"/>
    <x v="1"/>
    <x v="18"/>
    <x v="0"/>
    <x v="3"/>
    <x v="0"/>
    <x v="0"/>
    <n v="11"/>
    <x v="4"/>
    <x v="3"/>
  </r>
  <r>
    <n v="919"/>
    <x v="13"/>
    <x v="0"/>
    <x v="6"/>
    <x v="0"/>
    <n v="42"/>
    <s v="North Carolina"/>
    <x v="2"/>
    <x v="20"/>
    <x v="1"/>
    <x v="24"/>
    <x v="0"/>
    <x v="4"/>
    <x v="0"/>
    <x v="0"/>
    <n v="11"/>
    <x v="1"/>
    <x v="0"/>
  </r>
  <r>
    <n v="920"/>
    <x v="38"/>
    <x v="0"/>
    <x v="5"/>
    <x v="0"/>
    <n v="82"/>
    <s v="Massachusetts"/>
    <x v="0"/>
    <x v="14"/>
    <x v="0"/>
    <x v="5"/>
    <x v="0"/>
    <x v="4"/>
    <x v="0"/>
    <x v="0"/>
    <n v="17"/>
    <x v="5"/>
    <x v="4"/>
  </r>
  <r>
    <n v="921"/>
    <x v="43"/>
    <x v="0"/>
    <x v="22"/>
    <x v="3"/>
    <n v="81"/>
    <s v="Arkansas"/>
    <x v="3"/>
    <x v="9"/>
    <x v="2"/>
    <x v="24"/>
    <x v="0"/>
    <x v="1"/>
    <x v="0"/>
    <x v="0"/>
    <n v="37"/>
    <x v="1"/>
    <x v="1"/>
  </r>
  <r>
    <n v="922"/>
    <x v="27"/>
    <x v="0"/>
    <x v="7"/>
    <x v="2"/>
    <n v="24"/>
    <s v="South Dakota"/>
    <x v="0"/>
    <x v="5"/>
    <x v="2"/>
    <x v="7"/>
    <x v="0"/>
    <x v="0"/>
    <x v="0"/>
    <x v="0"/>
    <n v="18"/>
    <x v="3"/>
    <x v="1"/>
  </r>
  <r>
    <n v="923"/>
    <x v="6"/>
    <x v="0"/>
    <x v="4"/>
    <x v="1"/>
    <n v="60"/>
    <s v="Georgia"/>
    <x v="2"/>
    <x v="17"/>
    <x v="3"/>
    <x v="19"/>
    <x v="0"/>
    <x v="3"/>
    <x v="0"/>
    <x v="0"/>
    <n v="13"/>
    <x v="2"/>
    <x v="5"/>
  </r>
  <r>
    <n v="924"/>
    <x v="0"/>
    <x v="0"/>
    <x v="5"/>
    <x v="0"/>
    <n v="24"/>
    <s v="Arkansas"/>
    <x v="2"/>
    <x v="5"/>
    <x v="1"/>
    <x v="19"/>
    <x v="0"/>
    <x v="4"/>
    <x v="0"/>
    <x v="0"/>
    <n v="7"/>
    <x v="3"/>
    <x v="1"/>
  </r>
  <r>
    <n v="925"/>
    <x v="16"/>
    <x v="0"/>
    <x v="20"/>
    <x v="0"/>
    <n v="78"/>
    <s v="Kansas"/>
    <x v="3"/>
    <x v="19"/>
    <x v="0"/>
    <x v="0"/>
    <x v="0"/>
    <x v="3"/>
    <x v="0"/>
    <x v="0"/>
    <n v="37"/>
    <x v="1"/>
    <x v="3"/>
  </r>
  <r>
    <n v="926"/>
    <x v="40"/>
    <x v="0"/>
    <x v="2"/>
    <x v="0"/>
    <n v="88"/>
    <s v="Arizona"/>
    <x v="0"/>
    <x v="11"/>
    <x v="0"/>
    <x v="8"/>
    <x v="0"/>
    <x v="0"/>
    <x v="0"/>
    <x v="0"/>
    <n v="8"/>
    <x v="1"/>
    <x v="5"/>
  </r>
  <r>
    <n v="927"/>
    <x v="22"/>
    <x v="0"/>
    <x v="2"/>
    <x v="0"/>
    <n v="63"/>
    <s v="Massachusetts"/>
    <x v="3"/>
    <x v="14"/>
    <x v="1"/>
    <x v="14"/>
    <x v="0"/>
    <x v="0"/>
    <x v="0"/>
    <x v="0"/>
    <n v="11"/>
    <x v="1"/>
    <x v="4"/>
  </r>
  <r>
    <n v="928"/>
    <x v="48"/>
    <x v="0"/>
    <x v="4"/>
    <x v="1"/>
    <n v="78"/>
    <s v="New Mexico"/>
    <x v="0"/>
    <x v="13"/>
    <x v="2"/>
    <x v="14"/>
    <x v="0"/>
    <x v="3"/>
    <x v="0"/>
    <x v="0"/>
    <n v="8"/>
    <x v="0"/>
    <x v="4"/>
  </r>
  <r>
    <n v="929"/>
    <x v="29"/>
    <x v="0"/>
    <x v="10"/>
    <x v="0"/>
    <n v="37"/>
    <s v="Arkansas"/>
    <x v="3"/>
    <x v="22"/>
    <x v="0"/>
    <x v="23"/>
    <x v="0"/>
    <x v="5"/>
    <x v="0"/>
    <x v="0"/>
    <n v="31"/>
    <x v="1"/>
    <x v="6"/>
  </r>
  <r>
    <n v="930"/>
    <x v="35"/>
    <x v="0"/>
    <x v="23"/>
    <x v="1"/>
    <n v="94"/>
    <s v="Nebraska"/>
    <x v="2"/>
    <x v="3"/>
    <x v="3"/>
    <x v="9"/>
    <x v="0"/>
    <x v="4"/>
    <x v="0"/>
    <x v="0"/>
    <n v="26"/>
    <x v="5"/>
    <x v="0"/>
  </r>
  <r>
    <n v="931"/>
    <x v="8"/>
    <x v="0"/>
    <x v="17"/>
    <x v="0"/>
    <n v="78"/>
    <s v="Hawaii"/>
    <x v="0"/>
    <x v="14"/>
    <x v="3"/>
    <x v="9"/>
    <x v="0"/>
    <x v="5"/>
    <x v="0"/>
    <x v="0"/>
    <n v="20"/>
    <x v="2"/>
    <x v="4"/>
  </r>
  <r>
    <n v="932"/>
    <x v="41"/>
    <x v="0"/>
    <x v="7"/>
    <x v="2"/>
    <n v="36"/>
    <s v="Nebraska"/>
    <x v="2"/>
    <x v="5"/>
    <x v="0"/>
    <x v="7"/>
    <x v="0"/>
    <x v="3"/>
    <x v="0"/>
    <x v="0"/>
    <n v="24"/>
    <x v="4"/>
    <x v="0"/>
  </r>
  <r>
    <n v="933"/>
    <x v="46"/>
    <x v="0"/>
    <x v="11"/>
    <x v="0"/>
    <n v="24"/>
    <s v="Indiana"/>
    <x v="0"/>
    <x v="24"/>
    <x v="0"/>
    <x v="4"/>
    <x v="0"/>
    <x v="3"/>
    <x v="0"/>
    <x v="0"/>
    <n v="45"/>
    <x v="5"/>
    <x v="4"/>
  </r>
  <r>
    <n v="934"/>
    <x v="27"/>
    <x v="0"/>
    <x v="4"/>
    <x v="1"/>
    <n v="84"/>
    <s v="Colorado"/>
    <x v="2"/>
    <x v="23"/>
    <x v="1"/>
    <x v="2"/>
    <x v="0"/>
    <x v="5"/>
    <x v="0"/>
    <x v="0"/>
    <n v="33"/>
    <x v="5"/>
    <x v="5"/>
  </r>
  <r>
    <n v="935"/>
    <x v="4"/>
    <x v="0"/>
    <x v="2"/>
    <x v="0"/>
    <n v="47"/>
    <s v="Oregon"/>
    <x v="1"/>
    <x v="22"/>
    <x v="1"/>
    <x v="18"/>
    <x v="0"/>
    <x v="0"/>
    <x v="0"/>
    <x v="0"/>
    <n v="21"/>
    <x v="4"/>
    <x v="5"/>
  </r>
  <r>
    <n v="936"/>
    <x v="44"/>
    <x v="0"/>
    <x v="15"/>
    <x v="0"/>
    <n v="51"/>
    <s v="Ohio"/>
    <x v="0"/>
    <x v="3"/>
    <x v="3"/>
    <x v="5"/>
    <x v="0"/>
    <x v="5"/>
    <x v="0"/>
    <x v="0"/>
    <n v="2"/>
    <x v="4"/>
    <x v="0"/>
  </r>
  <r>
    <n v="937"/>
    <x v="18"/>
    <x v="0"/>
    <x v="9"/>
    <x v="1"/>
    <n v="84"/>
    <s v="Maine"/>
    <x v="2"/>
    <x v="6"/>
    <x v="2"/>
    <x v="2"/>
    <x v="0"/>
    <x v="1"/>
    <x v="0"/>
    <x v="0"/>
    <n v="28"/>
    <x v="1"/>
    <x v="1"/>
  </r>
  <r>
    <n v="938"/>
    <x v="45"/>
    <x v="0"/>
    <x v="6"/>
    <x v="0"/>
    <n v="24"/>
    <s v="Iowa"/>
    <x v="2"/>
    <x v="23"/>
    <x v="2"/>
    <x v="2"/>
    <x v="0"/>
    <x v="0"/>
    <x v="0"/>
    <x v="0"/>
    <n v="18"/>
    <x v="0"/>
    <x v="3"/>
  </r>
  <r>
    <n v="939"/>
    <x v="24"/>
    <x v="0"/>
    <x v="0"/>
    <x v="0"/>
    <n v="97"/>
    <s v="Wisconsin"/>
    <x v="1"/>
    <x v="11"/>
    <x v="3"/>
    <x v="6"/>
    <x v="0"/>
    <x v="1"/>
    <x v="0"/>
    <x v="0"/>
    <n v="21"/>
    <x v="5"/>
    <x v="0"/>
  </r>
  <r>
    <n v="940"/>
    <x v="15"/>
    <x v="0"/>
    <x v="17"/>
    <x v="0"/>
    <n v="89"/>
    <s v="New York"/>
    <x v="0"/>
    <x v="21"/>
    <x v="0"/>
    <x v="6"/>
    <x v="0"/>
    <x v="2"/>
    <x v="0"/>
    <x v="0"/>
    <n v="24"/>
    <x v="2"/>
    <x v="5"/>
  </r>
  <r>
    <n v="941"/>
    <x v="39"/>
    <x v="0"/>
    <x v="22"/>
    <x v="3"/>
    <n v="44"/>
    <s v="Colorado"/>
    <x v="1"/>
    <x v="1"/>
    <x v="1"/>
    <x v="5"/>
    <x v="0"/>
    <x v="5"/>
    <x v="0"/>
    <x v="0"/>
    <n v="15"/>
    <x v="3"/>
    <x v="6"/>
  </r>
  <r>
    <n v="942"/>
    <x v="31"/>
    <x v="0"/>
    <x v="8"/>
    <x v="3"/>
    <n v="35"/>
    <s v="Illinois"/>
    <x v="0"/>
    <x v="13"/>
    <x v="0"/>
    <x v="9"/>
    <x v="0"/>
    <x v="4"/>
    <x v="0"/>
    <x v="0"/>
    <n v="38"/>
    <x v="3"/>
    <x v="6"/>
  </r>
  <r>
    <n v="943"/>
    <x v="8"/>
    <x v="0"/>
    <x v="10"/>
    <x v="0"/>
    <n v="91"/>
    <s v="Arizona"/>
    <x v="2"/>
    <x v="17"/>
    <x v="0"/>
    <x v="4"/>
    <x v="0"/>
    <x v="0"/>
    <x v="0"/>
    <x v="0"/>
    <n v="38"/>
    <x v="3"/>
    <x v="4"/>
  </r>
  <r>
    <n v="944"/>
    <x v="45"/>
    <x v="0"/>
    <x v="19"/>
    <x v="3"/>
    <n v="63"/>
    <s v="Oklahoma"/>
    <x v="0"/>
    <x v="17"/>
    <x v="0"/>
    <x v="22"/>
    <x v="0"/>
    <x v="2"/>
    <x v="0"/>
    <x v="0"/>
    <n v="13"/>
    <x v="0"/>
    <x v="0"/>
  </r>
  <r>
    <n v="945"/>
    <x v="22"/>
    <x v="0"/>
    <x v="22"/>
    <x v="3"/>
    <n v="97"/>
    <s v="Indiana"/>
    <x v="1"/>
    <x v="0"/>
    <x v="1"/>
    <x v="6"/>
    <x v="0"/>
    <x v="0"/>
    <x v="0"/>
    <x v="0"/>
    <n v="39"/>
    <x v="1"/>
    <x v="4"/>
  </r>
  <r>
    <n v="946"/>
    <x v="21"/>
    <x v="0"/>
    <x v="23"/>
    <x v="1"/>
    <n v="38"/>
    <s v="Minnesota"/>
    <x v="2"/>
    <x v="10"/>
    <x v="2"/>
    <x v="7"/>
    <x v="0"/>
    <x v="5"/>
    <x v="0"/>
    <x v="0"/>
    <n v="8"/>
    <x v="0"/>
    <x v="6"/>
  </r>
  <r>
    <n v="947"/>
    <x v="5"/>
    <x v="0"/>
    <x v="7"/>
    <x v="2"/>
    <n v="24"/>
    <s v="Pennsylvania"/>
    <x v="3"/>
    <x v="24"/>
    <x v="1"/>
    <x v="11"/>
    <x v="0"/>
    <x v="2"/>
    <x v="0"/>
    <x v="0"/>
    <n v="4"/>
    <x v="3"/>
    <x v="3"/>
  </r>
  <r>
    <n v="948"/>
    <x v="9"/>
    <x v="0"/>
    <x v="0"/>
    <x v="0"/>
    <n v="32"/>
    <s v="Indiana"/>
    <x v="2"/>
    <x v="4"/>
    <x v="0"/>
    <x v="20"/>
    <x v="0"/>
    <x v="5"/>
    <x v="0"/>
    <x v="0"/>
    <n v="6"/>
    <x v="1"/>
    <x v="6"/>
  </r>
  <r>
    <n v="949"/>
    <x v="34"/>
    <x v="0"/>
    <x v="19"/>
    <x v="3"/>
    <n v="90"/>
    <s v="Alabama"/>
    <x v="0"/>
    <x v="8"/>
    <x v="2"/>
    <x v="8"/>
    <x v="0"/>
    <x v="0"/>
    <x v="0"/>
    <x v="0"/>
    <n v="11"/>
    <x v="0"/>
    <x v="6"/>
  </r>
  <r>
    <n v="950"/>
    <x v="23"/>
    <x v="0"/>
    <x v="2"/>
    <x v="0"/>
    <n v="36"/>
    <s v="Montana"/>
    <x v="2"/>
    <x v="8"/>
    <x v="2"/>
    <x v="23"/>
    <x v="0"/>
    <x v="3"/>
    <x v="0"/>
    <x v="0"/>
    <n v="49"/>
    <x v="0"/>
    <x v="5"/>
  </r>
  <r>
    <n v="951"/>
    <x v="22"/>
    <x v="0"/>
    <x v="21"/>
    <x v="3"/>
    <n v="37"/>
    <s v="New Mexico"/>
    <x v="3"/>
    <x v="2"/>
    <x v="0"/>
    <x v="7"/>
    <x v="0"/>
    <x v="1"/>
    <x v="0"/>
    <x v="0"/>
    <n v="30"/>
    <x v="3"/>
    <x v="3"/>
  </r>
  <r>
    <n v="952"/>
    <x v="36"/>
    <x v="0"/>
    <x v="10"/>
    <x v="0"/>
    <n v="51"/>
    <s v="Alaska"/>
    <x v="2"/>
    <x v="17"/>
    <x v="2"/>
    <x v="3"/>
    <x v="0"/>
    <x v="0"/>
    <x v="0"/>
    <x v="0"/>
    <n v="34"/>
    <x v="4"/>
    <x v="5"/>
  </r>
  <r>
    <n v="953"/>
    <x v="24"/>
    <x v="0"/>
    <x v="19"/>
    <x v="3"/>
    <n v="71"/>
    <s v="Idaho"/>
    <x v="1"/>
    <x v="16"/>
    <x v="3"/>
    <x v="0"/>
    <x v="0"/>
    <x v="4"/>
    <x v="0"/>
    <x v="0"/>
    <n v="28"/>
    <x v="3"/>
    <x v="5"/>
  </r>
  <r>
    <n v="954"/>
    <x v="33"/>
    <x v="0"/>
    <x v="12"/>
    <x v="3"/>
    <n v="50"/>
    <s v="Utah"/>
    <x v="1"/>
    <x v="17"/>
    <x v="1"/>
    <x v="15"/>
    <x v="0"/>
    <x v="4"/>
    <x v="0"/>
    <x v="0"/>
    <n v="36"/>
    <x v="0"/>
    <x v="3"/>
  </r>
  <r>
    <n v="955"/>
    <x v="52"/>
    <x v="0"/>
    <x v="19"/>
    <x v="3"/>
    <n v="74"/>
    <s v="Louisiana"/>
    <x v="1"/>
    <x v="2"/>
    <x v="3"/>
    <x v="1"/>
    <x v="0"/>
    <x v="3"/>
    <x v="0"/>
    <x v="0"/>
    <n v="18"/>
    <x v="2"/>
    <x v="6"/>
  </r>
  <r>
    <n v="956"/>
    <x v="0"/>
    <x v="0"/>
    <x v="10"/>
    <x v="0"/>
    <n v="75"/>
    <s v="Mississippi"/>
    <x v="0"/>
    <x v="12"/>
    <x v="2"/>
    <x v="23"/>
    <x v="0"/>
    <x v="1"/>
    <x v="0"/>
    <x v="0"/>
    <n v="4"/>
    <x v="3"/>
    <x v="5"/>
  </r>
  <r>
    <n v="957"/>
    <x v="26"/>
    <x v="0"/>
    <x v="5"/>
    <x v="0"/>
    <n v="99"/>
    <s v="Mississippi"/>
    <x v="3"/>
    <x v="17"/>
    <x v="1"/>
    <x v="3"/>
    <x v="0"/>
    <x v="4"/>
    <x v="0"/>
    <x v="0"/>
    <n v="42"/>
    <x v="5"/>
    <x v="3"/>
  </r>
  <r>
    <n v="958"/>
    <x v="21"/>
    <x v="0"/>
    <x v="18"/>
    <x v="3"/>
    <n v="23"/>
    <s v="Indiana"/>
    <x v="3"/>
    <x v="10"/>
    <x v="1"/>
    <x v="10"/>
    <x v="0"/>
    <x v="5"/>
    <x v="0"/>
    <x v="0"/>
    <n v="11"/>
    <x v="1"/>
    <x v="3"/>
  </r>
  <r>
    <n v="959"/>
    <x v="27"/>
    <x v="0"/>
    <x v="4"/>
    <x v="1"/>
    <n v="53"/>
    <s v="Washington"/>
    <x v="3"/>
    <x v="19"/>
    <x v="0"/>
    <x v="14"/>
    <x v="0"/>
    <x v="1"/>
    <x v="0"/>
    <x v="0"/>
    <n v="31"/>
    <x v="2"/>
    <x v="4"/>
  </r>
  <r>
    <n v="960"/>
    <x v="24"/>
    <x v="0"/>
    <x v="11"/>
    <x v="0"/>
    <n v="99"/>
    <s v="Nevada"/>
    <x v="2"/>
    <x v="17"/>
    <x v="1"/>
    <x v="5"/>
    <x v="0"/>
    <x v="3"/>
    <x v="0"/>
    <x v="0"/>
    <n v="12"/>
    <x v="1"/>
    <x v="0"/>
  </r>
  <r>
    <n v="961"/>
    <x v="20"/>
    <x v="0"/>
    <x v="16"/>
    <x v="3"/>
    <n v="48"/>
    <s v="Louisiana"/>
    <x v="3"/>
    <x v="21"/>
    <x v="1"/>
    <x v="14"/>
    <x v="0"/>
    <x v="3"/>
    <x v="0"/>
    <x v="0"/>
    <n v="20"/>
    <x v="0"/>
    <x v="3"/>
  </r>
  <r>
    <n v="962"/>
    <x v="46"/>
    <x v="0"/>
    <x v="23"/>
    <x v="1"/>
    <n v="72"/>
    <s v="Pennsylvania"/>
    <x v="0"/>
    <x v="8"/>
    <x v="3"/>
    <x v="18"/>
    <x v="0"/>
    <x v="2"/>
    <x v="0"/>
    <x v="0"/>
    <n v="37"/>
    <x v="5"/>
    <x v="3"/>
  </r>
  <r>
    <n v="963"/>
    <x v="26"/>
    <x v="0"/>
    <x v="12"/>
    <x v="3"/>
    <n v="64"/>
    <s v="Michigan"/>
    <x v="0"/>
    <x v="14"/>
    <x v="1"/>
    <x v="14"/>
    <x v="0"/>
    <x v="3"/>
    <x v="0"/>
    <x v="0"/>
    <n v="26"/>
    <x v="5"/>
    <x v="0"/>
  </r>
  <r>
    <n v="964"/>
    <x v="3"/>
    <x v="0"/>
    <x v="23"/>
    <x v="1"/>
    <n v="63"/>
    <s v="South Carolina"/>
    <x v="0"/>
    <x v="14"/>
    <x v="1"/>
    <x v="25"/>
    <x v="0"/>
    <x v="4"/>
    <x v="0"/>
    <x v="0"/>
    <n v="14"/>
    <x v="2"/>
    <x v="1"/>
  </r>
  <r>
    <n v="965"/>
    <x v="32"/>
    <x v="0"/>
    <x v="3"/>
    <x v="1"/>
    <n v="51"/>
    <s v="Arizona"/>
    <x v="2"/>
    <x v="19"/>
    <x v="1"/>
    <x v="5"/>
    <x v="0"/>
    <x v="2"/>
    <x v="0"/>
    <x v="0"/>
    <n v="12"/>
    <x v="0"/>
    <x v="4"/>
  </r>
  <r>
    <n v="966"/>
    <x v="49"/>
    <x v="0"/>
    <x v="23"/>
    <x v="1"/>
    <n v="55"/>
    <s v="Delaware"/>
    <x v="0"/>
    <x v="13"/>
    <x v="1"/>
    <x v="16"/>
    <x v="0"/>
    <x v="5"/>
    <x v="0"/>
    <x v="0"/>
    <n v="10"/>
    <x v="2"/>
    <x v="2"/>
  </r>
  <r>
    <n v="967"/>
    <x v="44"/>
    <x v="0"/>
    <x v="10"/>
    <x v="0"/>
    <n v="55"/>
    <s v="Kentucky"/>
    <x v="2"/>
    <x v="18"/>
    <x v="1"/>
    <x v="8"/>
    <x v="0"/>
    <x v="0"/>
    <x v="0"/>
    <x v="0"/>
    <n v="19"/>
    <x v="1"/>
    <x v="2"/>
  </r>
  <r>
    <n v="968"/>
    <x v="7"/>
    <x v="0"/>
    <x v="15"/>
    <x v="0"/>
    <n v="26"/>
    <s v="Georgia"/>
    <x v="1"/>
    <x v="5"/>
    <x v="2"/>
    <x v="18"/>
    <x v="0"/>
    <x v="5"/>
    <x v="0"/>
    <x v="0"/>
    <n v="4"/>
    <x v="1"/>
    <x v="1"/>
  </r>
  <r>
    <n v="969"/>
    <x v="9"/>
    <x v="0"/>
    <x v="6"/>
    <x v="0"/>
    <n v="67"/>
    <s v="North Carolina"/>
    <x v="0"/>
    <x v="0"/>
    <x v="2"/>
    <x v="0"/>
    <x v="0"/>
    <x v="2"/>
    <x v="0"/>
    <x v="0"/>
    <n v="48"/>
    <x v="4"/>
    <x v="3"/>
  </r>
  <r>
    <n v="970"/>
    <x v="37"/>
    <x v="0"/>
    <x v="7"/>
    <x v="2"/>
    <n v="31"/>
    <s v="California"/>
    <x v="1"/>
    <x v="6"/>
    <x v="3"/>
    <x v="4"/>
    <x v="0"/>
    <x v="0"/>
    <x v="0"/>
    <x v="0"/>
    <n v="37"/>
    <x v="3"/>
    <x v="5"/>
  </r>
  <r>
    <n v="971"/>
    <x v="4"/>
    <x v="0"/>
    <x v="2"/>
    <x v="0"/>
    <n v="66"/>
    <s v="California"/>
    <x v="1"/>
    <x v="1"/>
    <x v="0"/>
    <x v="14"/>
    <x v="0"/>
    <x v="1"/>
    <x v="0"/>
    <x v="0"/>
    <n v="4"/>
    <x v="1"/>
    <x v="5"/>
  </r>
  <r>
    <n v="972"/>
    <x v="36"/>
    <x v="0"/>
    <x v="12"/>
    <x v="3"/>
    <n v="67"/>
    <s v="Indiana"/>
    <x v="2"/>
    <x v="17"/>
    <x v="2"/>
    <x v="24"/>
    <x v="0"/>
    <x v="2"/>
    <x v="0"/>
    <x v="0"/>
    <n v="15"/>
    <x v="2"/>
    <x v="1"/>
  </r>
  <r>
    <n v="973"/>
    <x v="12"/>
    <x v="0"/>
    <x v="4"/>
    <x v="1"/>
    <n v="61"/>
    <s v="Colorado"/>
    <x v="0"/>
    <x v="9"/>
    <x v="0"/>
    <x v="21"/>
    <x v="0"/>
    <x v="3"/>
    <x v="0"/>
    <x v="0"/>
    <n v="33"/>
    <x v="2"/>
    <x v="1"/>
  </r>
  <r>
    <n v="974"/>
    <x v="52"/>
    <x v="0"/>
    <x v="14"/>
    <x v="2"/>
    <n v="75"/>
    <s v="Colorado"/>
    <x v="2"/>
    <x v="11"/>
    <x v="3"/>
    <x v="1"/>
    <x v="0"/>
    <x v="4"/>
    <x v="0"/>
    <x v="0"/>
    <n v="30"/>
    <x v="4"/>
    <x v="3"/>
  </r>
  <r>
    <n v="975"/>
    <x v="28"/>
    <x v="0"/>
    <x v="11"/>
    <x v="0"/>
    <n v="90"/>
    <s v="North Carolina"/>
    <x v="2"/>
    <x v="19"/>
    <x v="1"/>
    <x v="15"/>
    <x v="0"/>
    <x v="4"/>
    <x v="0"/>
    <x v="0"/>
    <n v="23"/>
    <x v="4"/>
    <x v="5"/>
  </r>
  <r>
    <n v="976"/>
    <x v="44"/>
    <x v="0"/>
    <x v="1"/>
    <x v="0"/>
    <n v="40"/>
    <s v="Washington"/>
    <x v="2"/>
    <x v="8"/>
    <x v="2"/>
    <x v="22"/>
    <x v="0"/>
    <x v="4"/>
    <x v="0"/>
    <x v="0"/>
    <n v="2"/>
    <x v="4"/>
    <x v="1"/>
  </r>
  <r>
    <n v="977"/>
    <x v="50"/>
    <x v="0"/>
    <x v="17"/>
    <x v="0"/>
    <n v="90"/>
    <s v="Florida"/>
    <x v="2"/>
    <x v="0"/>
    <x v="3"/>
    <x v="15"/>
    <x v="0"/>
    <x v="0"/>
    <x v="0"/>
    <x v="0"/>
    <n v="50"/>
    <x v="2"/>
    <x v="6"/>
  </r>
  <r>
    <n v="978"/>
    <x v="30"/>
    <x v="0"/>
    <x v="22"/>
    <x v="3"/>
    <n v="20"/>
    <s v="Washington"/>
    <x v="2"/>
    <x v="13"/>
    <x v="1"/>
    <x v="12"/>
    <x v="0"/>
    <x v="0"/>
    <x v="0"/>
    <x v="0"/>
    <n v="34"/>
    <x v="1"/>
    <x v="4"/>
  </r>
  <r>
    <n v="979"/>
    <x v="19"/>
    <x v="0"/>
    <x v="24"/>
    <x v="3"/>
    <n v="40"/>
    <s v="Colorado"/>
    <x v="2"/>
    <x v="2"/>
    <x v="2"/>
    <x v="25"/>
    <x v="0"/>
    <x v="3"/>
    <x v="0"/>
    <x v="0"/>
    <n v="33"/>
    <x v="2"/>
    <x v="1"/>
  </r>
  <r>
    <n v="980"/>
    <x v="14"/>
    <x v="0"/>
    <x v="19"/>
    <x v="3"/>
    <n v="33"/>
    <s v="New Hampshire"/>
    <x v="1"/>
    <x v="18"/>
    <x v="3"/>
    <x v="1"/>
    <x v="0"/>
    <x v="5"/>
    <x v="0"/>
    <x v="0"/>
    <n v="34"/>
    <x v="5"/>
    <x v="5"/>
  </r>
  <r>
    <n v="981"/>
    <x v="19"/>
    <x v="0"/>
    <x v="23"/>
    <x v="1"/>
    <n v="98"/>
    <s v="Maryland"/>
    <x v="1"/>
    <x v="23"/>
    <x v="1"/>
    <x v="17"/>
    <x v="0"/>
    <x v="1"/>
    <x v="0"/>
    <x v="0"/>
    <n v="39"/>
    <x v="3"/>
    <x v="6"/>
  </r>
  <r>
    <n v="982"/>
    <x v="7"/>
    <x v="0"/>
    <x v="22"/>
    <x v="3"/>
    <n v="42"/>
    <s v="Maryland"/>
    <x v="2"/>
    <x v="5"/>
    <x v="1"/>
    <x v="1"/>
    <x v="0"/>
    <x v="2"/>
    <x v="0"/>
    <x v="0"/>
    <n v="47"/>
    <x v="2"/>
    <x v="3"/>
  </r>
  <r>
    <n v="983"/>
    <x v="25"/>
    <x v="0"/>
    <x v="7"/>
    <x v="2"/>
    <n v="62"/>
    <s v="Texas"/>
    <x v="1"/>
    <x v="16"/>
    <x v="2"/>
    <x v="4"/>
    <x v="0"/>
    <x v="3"/>
    <x v="0"/>
    <x v="0"/>
    <n v="37"/>
    <x v="3"/>
    <x v="5"/>
  </r>
  <r>
    <n v="984"/>
    <x v="41"/>
    <x v="0"/>
    <x v="19"/>
    <x v="3"/>
    <n v="45"/>
    <s v="New Mexico"/>
    <x v="0"/>
    <x v="21"/>
    <x v="0"/>
    <x v="1"/>
    <x v="0"/>
    <x v="1"/>
    <x v="0"/>
    <x v="0"/>
    <n v="40"/>
    <x v="0"/>
    <x v="4"/>
  </r>
  <r>
    <n v="985"/>
    <x v="8"/>
    <x v="0"/>
    <x v="9"/>
    <x v="1"/>
    <n v="78"/>
    <s v="Utah"/>
    <x v="2"/>
    <x v="14"/>
    <x v="2"/>
    <x v="23"/>
    <x v="0"/>
    <x v="1"/>
    <x v="0"/>
    <x v="0"/>
    <n v="8"/>
    <x v="2"/>
    <x v="4"/>
  </r>
  <r>
    <n v="986"/>
    <x v="45"/>
    <x v="0"/>
    <x v="8"/>
    <x v="3"/>
    <n v="80"/>
    <s v="West Virginia"/>
    <x v="2"/>
    <x v="0"/>
    <x v="3"/>
    <x v="16"/>
    <x v="0"/>
    <x v="0"/>
    <x v="0"/>
    <x v="0"/>
    <n v="12"/>
    <x v="4"/>
    <x v="2"/>
  </r>
  <r>
    <n v="987"/>
    <x v="22"/>
    <x v="0"/>
    <x v="18"/>
    <x v="3"/>
    <n v="96"/>
    <s v="Connecticut"/>
    <x v="1"/>
    <x v="15"/>
    <x v="1"/>
    <x v="9"/>
    <x v="0"/>
    <x v="5"/>
    <x v="0"/>
    <x v="0"/>
    <n v="36"/>
    <x v="4"/>
    <x v="5"/>
  </r>
  <r>
    <n v="988"/>
    <x v="46"/>
    <x v="0"/>
    <x v="8"/>
    <x v="3"/>
    <n v="47"/>
    <s v="West Virginia"/>
    <x v="2"/>
    <x v="4"/>
    <x v="2"/>
    <x v="11"/>
    <x v="0"/>
    <x v="0"/>
    <x v="0"/>
    <x v="0"/>
    <n v="48"/>
    <x v="3"/>
    <x v="1"/>
  </r>
  <r>
    <n v="989"/>
    <x v="2"/>
    <x v="0"/>
    <x v="13"/>
    <x v="0"/>
    <n v="84"/>
    <s v="Ohio"/>
    <x v="2"/>
    <x v="20"/>
    <x v="0"/>
    <x v="8"/>
    <x v="0"/>
    <x v="4"/>
    <x v="0"/>
    <x v="0"/>
    <n v="47"/>
    <x v="3"/>
    <x v="0"/>
  </r>
  <r>
    <n v="990"/>
    <x v="27"/>
    <x v="0"/>
    <x v="9"/>
    <x v="1"/>
    <n v="31"/>
    <s v="Texas"/>
    <x v="2"/>
    <x v="19"/>
    <x v="1"/>
    <x v="0"/>
    <x v="0"/>
    <x v="5"/>
    <x v="0"/>
    <x v="0"/>
    <n v="2"/>
    <x v="4"/>
    <x v="5"/>
  </r>
  <r>
    <n v="991"/>
    <x v="39"/>
    <x v="0"/>
    <x v="12"/>
    <x v="3"/>
    <n v="63"/>
    <s v="Washington"/>
    <x v="1"/>
    <x v="22"/>
    <x v="1"/>
    <x v="6"/>
    <x v="0"/>
    <x v="5"/>
    <x v="0"/>
    <x v="0"/>
    <n v="24"/>
    <x v="1"/>
    <x v="1"/>
  </r>
  <r>
    <n v="992"/>
    <x v="30"/>
    <x v="0"/>
    <x v="6"/>
    <x v="0"/>
    <n v="97"/>
    <s v="Wisconsin"/>
    <x v="3"/>
    <x v="3"/>
    <x v="1"/>
    <x v="2"/>
    <x v="0"/>
    <x v="3"/>
    <x v="0"/>
    <x v="0"/>
    <n v="40"/>
    <x v="4"/>
    <x v="4"/>
  </r>
  <r>
    <n v="993"/>
    <x v="5"/>
    <x v="0"/>
    <x v="14"/>
    <x v="2"/>
    <n v="99"/>
    <s v="Louisiana"/>
    <x v="2"/>
    <x v="0"/>
    <x v="0"/>
    <x v="12"/>
    <x v="0"/>
    <x v="0"/>
    <x v="0"/>
    <x v="0"/>
    <n v="50"/>
    <x v="5"/>
    <x v="1"/>
  </r>
  <r>
    <n v="994"/>
    <x v="47"/>
    <x v="0"/>
    <x v="3"/>
    <x v="1"/>
    <n v="90"/>
    <s v="Iowa"/>
    <x v="2"/>
    <x v="15"/>
    <x v="0"/>
    <x v="14"/>
    <x v="0"/>
    <x v="5"/>
    <x v="0"/>
    <x v="0"/>
    <n v="25"/>
    <x v="1"/>
    <x v="1"/>
  </r>
  <r>
    <n v="995"/>
    <x v="10"/>
    <x v="0"/>
    <x v="9"/>
    <x v="1"/>
    <n v="68"/>
    <s v="New York"/>
    <x v="0"/>
    <x v="10"/>
    <x v="3"/>
    <x v="4"/>
    <x v="0"/>
    <x v="0"/>
    <x v="0"/>
    <x v="0"/>
    <n v="20"/>
    <x v="5"/>
    <x v="5"/>
  </r>
  <r>
    <n v="996"/>
    <x v="42"/>
    <x v="0"/>
    <x v="16"/>
    <x v="3"/>
    <n v="80"/>
    <s v="Idaho"/>
    <x v="2"/>
    <x v="23"/>
    <x v="1"/>
    <x v="21"/>
    <x v="0"/>
    <x v="4"/>
    <x v="0"/>
    <x v="0"/>
    <n v="10"/>
    <x v="0"/>
    <x v="1"/>
  </r>
  <r>
    <n v="997"/>
    <x v="26"/>
    <x v="0"/>
    <x v="3"/>
    <x v="1"/>
    <n v="91"/>
    <s v="Delaware"/>
    <x v="0"/>
    <x v="1"/>
    <x v="2"/>
    <x v="8"/>
    <x v="0"/>
    <x v="3"/>
    <x v="0"/>
    <x v="0"/>
    <n v="32"/>
    <x v="4"/>
    <x v="3"/>
  </r>
  <r>
    <n v="998"/>
    <x v="14"/>
    <x v="0"/>
    <x v="13"/>
    <x v="0"/>
    <n v="30"/>
    <s v="Kentucky"/>
    <x v="2"/>
    <x v="17"/>
    <x v="1"/>
    <x v="15"/>
    <x v="0"/>
    <x v="0"/>
    <x v="0"/>
    <x v="0"/>
    <n v="31"/>
    <x v="1"/>
    <x v="0"/>
  </r>
  <r>
    <n v="999"/>
    <x v="47"/>
    <x v="0"/>
    <x v="9"/>
    <x v="1"/>
    <n v="90"/>
    <s v="Connecticut"/>
    <x v="2"/>
    <x v="3"/>
    <x v="1"/>
    <x v="22"/>
    <x v="0"/>
    <x v="2"/>
    <x v="0"/>
    <x v="0"/>
    <n v="48"/>
    <x v="4"/>
    <x v="4"/>
  </r>
  <r>
    <n v="1000"/>
    <x v="2"/>
    <x v="0"/>
    <x v="20"/>
    <x v="0"/>
    <n v="28"/>
    <s v="New Mexico"/>
    <x v="0"/>
    <x v="18"/>
    <x v="1"/>
    <x v="3"/>
    <x v="0"/>
    <x v="3"/>
    <x v="0"/>
    <x v="0"/>
    <n v="23"/>
    <x v="5"/>
    <x v="5"/>
  </r>
  <r>
    <n v="1001"/>
    <x v="49"/>
    <x v="0"/>
    <x v="20"/>
    <x v="0"/>
    <n v="46"/>
    <s v="Georgia"/>
    <x v="2"/>
    <x v="16"/>
    <x v="0"/>
    <x v="20"/>
    <x v="0"/>
    <x v="0"/>
    <x v="0"/>
    <x v="0"/>
    <n v="1"/>
    <x v="4"/>
    <x v="4"/>
  </r>
  <r>
    <n v="1002"/>
    <x v="12"/>
    <x v="0"/>
    <x v="10"/>
    <x v="0"/>
    <n v="60"/>
    <s v="Washington"/>
    <x v="2"/>
    <x v="20"/>
    <x v="3"/>
    <x v="15"/>
    <x v="0"/>
    <x v="3"/>
    <x v="0"/>
    <x v="0"/>
    <n v="4"/>
    <x v="5"/>
    <x v="0"/>
  </r>
  <r>
    <n v="1003"/>
    <x v="0"/>
    <x v="0"/>
    <x v="9"/>
    <x v="1"/>
    <n v="59"/>
    <s v="North Dakota"/>
    <x v="2"/>
    <x v="3"/>
    <x v="1"/>
    <x v="1"/>
    <x v="0"/>
    <x v="5"/>
    <x v="0"/>
    <x v="0"/>
    <n v="3"/>
    <x v="4"/>
    <x v="4"/>
  </r>
  <r>
    <n v="1004"/>
    <x v="19"/>
    <x v="0"/>
    <x v="19"/>
    <x v="3"/>
    <n v="68"/>
    <s v="Ohio"/>
    <x v="2"/>
    <x v="14"/>
    <x v="3"/>
    <x v="17"/>
    <x v="0"/>
    <x v="5"/>
    <x v="0"/>
    <x v="0"/>
    <n v="3"/>
    <x v="1"/>
    <x v="4"/>
  </r>
  <r>
    <n v="1005"/>
    <x v="23"/>
    <x v="0"/>
    <x v="21"/>
    <x v="3"/>
    <n v="79"/>
    <s v="Tennessee"/>
    <x v="2"/>
    <x v="13"/>
    <x v="2"/>
    <x v="6"/>
    <x v="0"/>
    <x v="4"/>
    <x v="0"/>
    <x v="0"/>
    <n v="44"/>
    <x v="1"/>
    <x v="2"/>
  </r>
  <r>
    <n v="1006"/>
    <x v="49"/>
    <x v="0"/>
    <x v="21"/>
    <x v="3"/>
    <n v="94"/>
    <s v="New York"/>
    <x v="2"/>
    <x v="9"/>
    <x v="0"/>
    <x v="20"/>
    <x v="0"/>
    <x v="5"/>
    <x v="0"/>
    <x v="0"/>
    <n v="5"/>
    <x v="5"/>
    <x v="4"/>
  </r>
  <r>
    <n v="1007"/>
    <x v="3"/>
    <x v="0"/>
    <x v="13"/>
    <x v="0"/>
    <n v="83"/>
    <s v="Michigan"/>
    <x v="1"/>
    <x v="12"/>
    <x v="2"/>
    <x v="9"/>
    <x v="0"/>
    <x v="2"/>
    <x v="0"/>
    <x v="0"/>
    <n v="50"/>
    <x v="0"/>
    <x v="3"/>
  </r>
  <r>
    <n v="1008"/>
    <x v="44"/>
    <x v="0"/>
    <x v="24"/>
    <x v="3"/>
    <n v="62"/>
    <s v="Georgia"/>
    <x v="3"/>
    <x v="2"/>
    <x v="1"/>
    <x v="6"/>
    <x v="0"/>
    <x v="3"/>
    <x v="0"/>
    <x v="0"/>
    <n v="2"/>
    <x v="2"/>
    <x v="2"/>
  </r>
  <r>
    <n v="1009"/>
    <x v="38"/>
    <x v="0"/>
    <x v="18"/>
    <x v="3"/>
    <n v="85"/>
    <s v="New Mexico"/>
    <x v="2"/>
    <x v="6"/>
    <x v="1"/>
    <x v="5"/>
    <x v="0"/>
    <x v="5"/>
    <x v="0"/>
    <x v="0"/>
    <n v="29"/>
    <x v="3"/>
    <x v="2"/>
  </r>
  <r>
    <n v="1010"/>
    <x v="31"/>
    <x v="0"/>
    <x v="15"/>
    <x v="0"/>
    <n v="30"/>
    <s v="Louisiana"/>
    <x v="2"/>
    <x v="5"/>
    <x v="2"/>
    <x v="0"/>
    <x v="0"/>
    <x v="0"/>
    <x v="0"/>
    <x v="0"/>
    <n v="11"/>
    <x v="0"/>
    <x v="2"/>
  </r>
  <r>
    <n v="1011"/>
    <x v="22"/>
    <x v="0"/>
    <x v="2"/>
    <x v="0"/>
    <n v="24"/>
    <s v="South Dakota"/>
    <x v="3"/>
    <x v="0"/>
    <x v="1"/>
    <x v="10"/>
    <x v="0"/>
    <x v="4"/>
    <x v="0"/>
    <x v="0"/>
    <n v="37"/>
    <x v="2"/>
    <x v="0"/>
  </r>
  <r>
    <n v="1012"/>
    <x v="49"/>
    <x v="0"/>
    <x v="21"/>
    <x v="3"/>
    <n v="25"/>
    <s v="Montana"/>
    <x v="0"/>
    <x v="21"/>
    <x v="1"/>
    <x v="3"/>
    <x v="0"/>
    <x v="2"/>
    <x v="0"/>
    <x v="0"/>
    <n v="32"/>
    <x v="5"/>
    <x v="0"/>
  </r>
  <r>
    <n v="1013"/>
    <x v="48"/>
    <x v="0"/>
    <x v="3"/>
    <x v="1"/>
    <n v="37"/>
    <s v="New Mexico"/>
    <x v="0"/>
    <x v="11"/>
    <x v="2"/>
    <x v="22"/>
    <x v="0"/>
    <x v="0"/>
    <x v="0"/>
    <x v="0"/>
    <n v="27"/>
    <x v="2"/>
    <x v="2"/>
  </r>
  <r>
    <n v="1014"/>
    <x v="35"/>
    <x v="0"/>
    <x v="22"/>
    <x v="3"/>
    <n v="69"/>
    <s v="South Carolina"/>
    <x v="3"/>
    <x v="14"/>
    <x v="2"/>
    <x v="22"/>
    <x v="0"/>
    <x v="4"/>
    <x v="0"/>
    <x v="0"/>
    <n v="31"/>
    <x v="0"/>
    <x v="4"/>
  </r>
  <r>
    <n v="1015"/>
    <x v="48"/>
    <x v="0"/>
    <x v="9"/>
    <x v="1"/>
    <n v="97"/>
    <s v="Ohio"/>
    <x v="2"/>
    <x v="10"/>
    <x v="2"/>
    <x v="21"/>
    <x v="0"/>
    <x v="3"/>
    <x v="0"/>
    <x v="0"/>
    <n v="36"/>
    <x v="5"/>
    <x v="0"/>
  </r>
  <r>
    <n v="1016"/>
    <x v="33"/>
    <x v="0"/>
    <x v="24"/>
    <x v="3"/>
    <n v="24"/>
    <s v="North Carolina"/>
    <x v="2"/>
    <x v="17"/>
    <x v="2"/>
    <x v="7"/>
    <x v="0"/>
    <x v="3"/>
    <x v="0"/>
    <x v="0"/>
    <n v="34"/>
    <x v="1"/>
    <x v="1"/>
  </r>
  <r>
    <n v="1017"/>
    <x v="30"/>
    <x v="0"/>
    <x v="22"/>
    <x v="3"/>
    <n v="30"/>
    <s v="Idaho"/>
    <x v="3"/>
    <x v="24"/>
    <x v="2"/>
    <x v="23"/>
    <x v="0"/>
    <x v="0"/>
    <x v="0"/>
    <x v="0"/>
    <n v="15"/>
    <x v="4"/>
    <x v="6"/>
  </r>
  <r>
    <n v="1018"/>
    <x v="3"/>
    <x v="0"/>
    <x v="14"/>
    <x v="2"/>
    <n v="53"/>
    <s v="Oklahoma"/>
    <x v="0"/>
    <x v="20"/>
    <x v="3"/>
    <x v="25"/>
    <x v="0"/>
    <x v="0"/>
    <x v="0"/>
    <x v="0"/>
    <n v="14"/>
    <x v="2"/>
    <x v="2"/>
  </r>
  <r>
    <n v="1019"/>
    <x v="2"/>
    <x v="0"/>
    <x v="10"/>
    <x v="0"/>
    <n v="70"/>
    <s v="Georgia"/>
    <x v="3"/>
    <x v="4"/>
    <x v="1"/>
    <x v="8"/>
    <x v="0"/>
    <x v="2"/>
    <x v="0"/>
    <x v="0"/>
    <n v="46"/>
    <x v="1"/>
    <x v="1"/>
  </r>
  <r>
    <n v="1020"/>
    <x v="45"/>
    <x v="0"/>
    <x v="5"/>
    <x v="0"/>
    <n v="76"/>
    <s v="Kentucky"/>
    <x v="1"/>
    <x v="19"/>
    <x v="0"/>
    <x v="11"/>
    <x v="0"/>
    <x v="3"/>
    <x v="0"/>
    <x v="0"/>
    <n v="33"/>
    <x v="0"/>
    <x v="4"/>
  </r>
  <r>
    <n v="1021"/>
    <x v="41"/>
    <x v="0"/>
    <x v="18"/>
    <x v="3"/>
    <n v="95"/>
    <s v="Delaware"/>
    <x v="2"/>
    <x v="13"/>
    <x v="3"/>
    <x v="9"/>
    <x v="0"/>
    <x v="0"/>
    <x v="0"/>
    <x v="0"/>
    <n v="41"/>
    <x v="5"/>
    <x v="2"/>
  </r>
  <r>
    <n v="1022"/>
    <x v="0"/>
    <x v="0"/>
    <x v="7"/>
    <x v="2"/>
    <n v="51"/>
    <s v="Massachusetts"/>
    <x v="1"/>
    <x v="12"/>
    <x v="0"/>
    <x v="8"/>
    <x v="0"/>
    <x v="4"/>
    <x v="0"/>
    <x v="0"/>
    <n v="39"/>
    <x v="3"/>
    <x v="1"/>
  </r>
  <r>
    <n v="1023"/>
    <x v="12"/>
    <x v="0"/>
    <x v="8"/>
    <x v="3"/>
    <n v="41"/>
    <s v="Nebraska"/>
    <x v="2"/>
    <x v="12"/>
    <x v="0"/>
    <x v="8"/>
    <x v="0"/>
    <x v="5"/>
    <x v="0"/>
    <x v="0"/>
    <n v="7"/>
    <x v="1"/>
    <x v="2"/>
  </r>
  <r>
    <n v="1024"/>
    <x v="12"/>
    <x v="0"/>
    <x v="12"/>
    <x v="3"/>
    <n v="71"/>
    <s v="Maine"/>
    <x v="1"/>
    <x v="2"/>
    <x v="0"/>
    <x v="1"/>
    <x v="0"/>
    <x v="1"/>
    <x v="0"/>
    <x v="0"/>
    <n v="29"/>
    <x v="4"/>
    <x v="6"/>
  </r>
  <r>
    <n v="1025"/>
    <x v="48"/>
    <x v="0"/>
    <x v="17"/>
    <x v="0"/>
    <n v="66"/>
    <s v="Pennsylvania"/>
    <x v="2"/>
    <x v="7"/>
    <x v="2"/>
    <x v="1"/>
    <x v="0"/>
    <x v="1"/>
    <x v="0"/>
    <x v="0"/>
    <n v="18"/>
    <x v="0"/>
    <x v="3"/>
  </r>
  <r>
    <n v="1026"/>
    <x v="52"/>
    <x v="0"/>
    <x v="5"/>
    <x v="0"/>
    <n v="84"/>
    <s v="Nebraska"/>
    <x v="2"/>
    <x v="8"/>
    <x v="0"/>
    <x v="8"/>
    <x v="0"/>
    <x v="1"/>
    <x v="0"/>
    <x v="0"/>
    <n v="15"/>
    <x v="2"/>
    <x v="2"/>
  </r>
  <r>
    <n v="1027"/>
    <x v="34"/>
    <x v="0"/>
    <x v="8"/>
    <x v="3"/>
    <n v="95"/>
    <s v="Virginia"/>
    <x v="0"/>
    <x v="2"/>
    <x v="0"/>
    <x v="21"/>
    <x v="0"/>
    <x v="0"/>
    <x v="0"/>
    <x v="0"/>
    <n v="39"/>
    <x v="3"/>
    <x v="4"/>
  </r>
  <r>
    <n v="1028"/>
    <x v="23"/>
    <x v="0"/>
    <x v="16"/>
    <x v="3"/>
    <n v="90"/>
    <s v="Ohio"/>
    <x v="0"/>
    <x v="11"/>
    <x v="2"/>
    <x v="11"/>
    <x v="0"/>
    <x v="2"/>
    <x v="0"/>
    <x v="0"/>
    <n v="11"/>
    <x v="1"/>
    <x v="5"/>
  </r>
  <r>
    <n v="1029"/>
    <x v="4"/>
    <x v="0"/>
    <x v="15"/>
    <x v="0"/>
    <n v="36"/>
    <s v="Nebraska"/>
    <x v="1"/>
    <x v="12"/>
    <x v="2"/>
    <x v="18"/>
    <x v="0"/>
    <x v="3"/>
    <x v="0"/>
    <x v="0"/>
    <n v="4"/>
    <x v="1"/>
    <x v="0"/>
  </r>
  <r>
    <n v="1030"/>
    <x v="26"/>
    <x v="0"/>
    <x v="24"/>
    <x v="3"/>
    <n v="22"/>
    <s v="Ohio"/>
    <x v="2"/>
    <x v="7"/>
    <x v="1"/>
    <x v="15"/>
    <x v="0"/>
    <x v="4"/>
    <x v="0"/>
    <x v="0"/>
    <n v="33"/>
    <x v="0"/>
    <x v="4"/>
  </r>
  <r>
    <n v="1031"/>
    <x v="44"/>
    <x v="0"/>
    <x v="7"/>
    <x v="2"/>
    <n v="89"/>
    <s v="Kentucky"/>
    <x v="0"/>
    <x v="24"/>
    <x v="0"/>
    <x v="13"/>
    <x v="0"/>
    <x v="2"/>
    <x v="0"/>
    <x v="0"/>
    <n v="37"/>
    <x v="5"/>
    <x v="3"/>
  </r>
  <r>
    <n v="1032"/>
    <x v="40"/>
    <x v="0"/>
    <x v="3"/>
    <x v="1"/>
    <n v="50"/>
    <s v="Tennessee"/>
    <x v="2"/>
    <x v="11"/>
    <x v="1"/>
    <x v="23"/>
    <x v="0"/>
    <x v="1"/>
    <x v="0"/>
    <x v="0"/>
    <n v="32"/>
    <x v="1"/>
    <x v="3"/>
  </r>
  <r>
    <n v="1033"/>
    <x v="0"/>
    <x v="0"/>
    <x v="23"/>
    <x v="1"/>
    <n v="36"/>
    <s v="Maine"/>
    <x v="2"/>
    <x v="12"/>
    <x v="3"/>
    <x v="17"/>
    <x v="0"/>
    <x v="1"/>
    <x v="0"/>
    <x v="0"/>
    <n v="44"/>
    <x v="2"/>
    <x v="3"/>
  </r>
  <r>
    <n v="1034"/>
    <x v="1"/>
    <x v="0"/>
    <x v="13"/>
    <x v="0"/>
    <n v="52"/>
    <s v="Montana"/>
    <x v="1"/>
    <x v="5"/>
    <x v="1"/>
    <x v="12"/>
    <x v="0"/>
    <x v="1"/>
    <x v="0"/>
    <x v="0"/>
    <n v="41"/>
    <x v="4"/>
    <x v="3"/>
  </r>
  <r>
    <n v="1035"/>
    <x v="33"/>
    <x v="0"/>
    <x v="20"/>
    <x v="0"/>
    <n v="29"/>
    <s v="Maryland"/>
    <x v="2"/>
    <x v="8"/>
    <x v="3"/>
    <x v="19"/>
    <x v="0"/>
    <x v="2"/>
    <x v="0"/>
    <x v="0"/>
    <n v="44"/>
    <x v="4"/>
    <x v="1"/>
  </r>
  <r>
    <n v="1036"/>
    <x v="12"/>
    <x v="0"/>
    <x v="0"/>
    <x v="0"/>
    <n v="89"/>
    <s v="Georgia"/>
    <x v="2"/>
    <x v="18"/>
    <x v="3"/>
    <x v="11"/>
    <x v="0"/>
    <x v="0"/>
    <x v="0"/>
    <x v="0"/>
    <n v="32"/>
    <x v="0"/>
    <x v="2"/>
  </r>
  <r>
    <n v="1037"/>
    <x v="33"/>
    <x v="0"/>
    <x v="8"/>
    <x v="3"/>
    <n v="47"/>
    <s v="Hawaii"/>
    <x v="2"/>
    <x v="22"/>
    <x v="3"/>
    <x v="18"/>
    <x v="0"/>
    <x v="4"/>
    <x v="0"/>
    <x v="0"/>
    <n v="13"/>
    <x v="4"/>
    <x v="5"/>
  </r>
  <r>
    <n v="1038"/>
    <x v="16"/>
    <x v="0"/>
    <x v="16"/>
    <x v="3"/>
    <n v="25"/>
    <s v="Rhode Island"/>
    <x v="3"/>
    <x v="18"/>
    <x v="1"/>
    <x v="23"/>
    <x v="0"/>
    <x v="3"/>
    <x v="0"/>
    <x v="0"/>
    <n v="48"/>
    <x v="5"/>
    <x v="3"/>
  </r>
  <r>
    <n v="1039"/>
    <x v="38"/>
    <x v="0"/>
    <x v="13"/>
    <x v="0"/>
    <n v="74"/>
    <s v="Nebraska"/>
    <x v="3"/>
    <x v="17"/>
    <x v="3"/>
    <x v="21"/>
    <x v="0"/>
    <x v="0"/>
    <x v="0"/>
    <x v="0"/>
    <n v="3"/>
    <x v="4"/>
    <x v="1"/>
  </r>
  <r>
    <n v="1040"/>
    <x v="26"/>
    <x v="0"/>
    <x v="22"/>
    <x v="3"/>
    <n v="46"/>
    <s v="Michigan"/>
    <x v="2"/>
    <x v="23"/>
    <x v="3"/>
    <x v="6"/>
    <x v="0"/>
    <x v="3"/>
    <x v="0"/>
    <x v="0"/>
    <n v="39"/>
    <x v="0"/>
    <x v="5"/>
  </r>
  <r>
    <n v="1041"/>
    <x v="33"/>
    <x v="0"/>
    <x v="2"/>
    <x v="0"/>
    <n v="22"/>
    <s v="North Carolina"/>
    <x v="1"/>
    <x v="23"/>
    <x v="3"/>
    <x v="17"/>
    <x v="0"/>
    <x v="2"/>
    <x v="0"/>
    <x v="0"/>
    <n v="7"/>
    <x v="1"/>
    <x v="0"/>
  </r>
  <r>
    <n v="1042"/>
    <x v="24"/>
    <x v="0"/>
    <x v="5"/>
    <x v="0"/>
    <n v="25"/>
    <s v="Minnesota"/>
    <x v="2"/>
    <x v="20"/>
    <x v="2"/>
    <x v="8"/>
    <x v="0"/>
    <x v="2"/>
    <x v="0"/>
    <x v="0"/>
    <n v="11"/>
    <x v="1"/>
    <x v="0"/>
  </r>
  <r>
    <n v="1043"/>
    <x v="0"/>
    <x v="0"/>
    <x v="22"/>
    <x v="3"/>
    <n v="80"/>
    <s v="Maryland"/>
    <x v="2"/>
    <x v="1"/>
    <x v="1"/>
    <x v="8"/>
    <x v="0"/>
    <x v="2"/>
    <x v="0"/>
    <x v="0"/>
    <n v="47"/>
    <x v="2"/>
    <x v="1"/>
  </r>
  <r>
    <n v="1044"/>
    <x v="48"/>
    <x v="0"/>
    <x v="2"/>
    <x v="0"/>
    <n v="76"/>
    <s v="Hawaii"/>
    <x v="2"/>
    <x v="14"/>
    <x v="1"/>
    <x v="13"/>
    <x v="0"/>
    <x v="4"/>
    <x v="0"/>
    <x v="0"/>
    <n v="28"/>
    <x v="5"/>
    <x v="0"/>
  </r>
  <r>
    <n v="1045"/>
    <x v="31"/>
    <x v="0"/>
    <x v="2"/>
    <x v="0"/>
    <n v="30"/>
    <s v="Oregon"/>
    <x v="0"/>
    <x v="11"/>
    <x v="2"/>
    <x v="14"/>
    <x v="0"/>
    <x v="2"/>
    <x v="0"/>
    <x v="0"/>
    <n v="17"/>
    <x v="4"/>
    <x v="6"/>
  </r>
  <r>
    <n v="1046"/>
    <x v="22"/>
    <x v="0"/>
    <x v="1"/>
    <x v="0"/>
    <n v="79"/>
    <s v="New Mexico"/>
    <x v="0"/>
    <x v="13"/>
    <x v="3"/>
    <x v="1"/>
    <x v="0"/>
    <x v="4"/>
    <x v="0"/>
    <x v="0"/>
    <n v="11"/>
    <x v="3"/>
    <x v="4"/>
  </r>
  <r>
    <n v="1047"/>
    <x v="37"/>
    <x v="0"/>
    <x v="4"/>
    <x v="1"/>
    <n v="22"/>
    <s v="Illinois"/>
    <x v="2"/>
    <x v="23"/>
    <x v="0"/>
    <x v="19"/>
    <x v="0"/>
    <x v="3"/>
    <x v="0"/>
    <x v="0"/>
    <n v="12"/>
    <x v="0"/>
    <x v="2"/>
  </r>
  <r>
    <n v="1048"/>
    <x v="18"/>
    <x v="0"/>
    <x v="20"/>
    <x v="0"/>
    <n v="36"/>
    <s v="Utah"/>
    <x v="1"/>
    <x v="8"/>
    <x v="3"/>
    <x v="19"/>
    <x v="0"/>
    <x v="3"/>
    <x v="0"/>
    <x v="0"/>
    <n v="7"/>
    <x v="2"/>
    <x v="0"/>
  </r>
  <r>
    <n v="1049"/>
    <x v="11"/>
    <x v="0"/>
    <x v="20"/>
    <x v="0"/>
    <n v="77"/>
    <s v="Maine"/>
    <x v="0"/>
    <x v="22"/>
    <x v="3"/>
    <x v="2"/>
    <x v="0"/>
    <x v="3"/>
    <x v="0"/>
    <x v="0"/>
    <n v="19"/>
    <x v="0"/>
    <x v="0"/>
  </r>
  <r>
    <n v="1050"/>
    <x v="4"/>
    <x v="0"/>
    <x v="12"/>
    <x v="3"/>
    <n v="33"/>
    <s v="Virginia"/>
    <x v="1"/>
    <x v="7"/>
    <x v="3"/>
    <x v="11"/>
    <x v="0"/>
    <x v="5"/>
    <x v="0"/>
    <x v="0"/>
    <n v="24"/>
    <x v="1"/>
    <x v="3"/>
  </r>
  <r>
    <n v="1051"/>
    <x v="39"/>
    <x v="0"/>
    <x v="4"/>
    <x v="1"/>
    <n v="64"/>
    <s v="Florida"/>
    <x v="2"/>
    <x v="19"/>
    <x v="0"/>
    <x v="22"/>
    <x v="0"/>
    <x v="2"/>
    <x v="0"/>
    <x v="0"/>
    <n v="19"/>
    <x v="0"/>
    <x v="5"/>
  </r>
  <r>
    <n v="1052"/>
    <x v="4"/>
    <x v="0"/>
    <x v="20"/>
    <x v="0"/>
    <n v="53"/>
    <s v="Ohio"/>
    <x v="2"/>
    <x v="21"/>
    <x v="3"/>
    <x v="5"/>
    <x v="0"/>
    <x v="1"/>
    <x v="0"/>
    <x v="0"/>
    <n v="39"/>
    <x v="3"/>
    <x v="2"/>
  </r>
  <r>
    <n v="1053"/>
    <x v="52"/>
    <x v="0"/>
    <x v="9"/>
    <x v="1"/>
    <n v="36"/>
    <s v="Virginia"/>
    <x v="3"/>
    <x v="6"/>
    <x v="3"/>
    <x v="21"/>
    <x v="0"/>
    <x v="4"/>
    <x v="0"/>
    <x v="0"/>
    <n v="1"/>
    <x v="2"/>
    <x v="0"/>
  </r>
  <r>
    <n v="1054"/>
    <x v="35"/>
    <x v="0"/>
    <x v="0"/>
    <x v="0"/>
    <n v="70"/>
    <s v="Kansas"/>
    <x v="2"/>
    <x v="24"/>
    <x v="1"/>
    <x v="13"/>
    <x v="1"/>
    <x v="4"/>
    <x v="0"/>
    <x v="0"/>
    <n v="10"/>
    <x v="5"/>
    <x v="4"/>
  </r>
  <r>
    <n v="1055"/>
    <x v="20"/>
    <x v="0"/>
    <x v="6"/>
    <x v="0"/>
    <n v="96"/>
    <s v="Arkansas"/>
    <x v="0"/>
    <x v="17"/>
    <x v="0"/>
    <x v="8"/>
    <x v="1"/>
    <x v="0"/>
    <x v="0"/>
    <x v="0"/>
    <n v="48"/>
    <x v="3"/>
    <x v="3"/>
  </r>
  <r>
    <n v="1056"/>
    <x v="27"/>
    <x v="0"/>
    <x v="14"/>
    <x v="2"/>
    <n v="27"/>
    <s v="Massachusetts"/>
    <x v="2"/>
    <x v="20"/>
    <x v="1"/>
    <x v="13"/>
    <x v="1"/>
    <x v="2"/>
    <x v="0"/>
    <x v="0"/>
    <n v="24"/>
    <x v="5"/>
    <x v="2"/>
  </r>
  <r>
    <n v="1057"/>
    <x v="30"/>
    <x v="0"/>
    <x v="1"/>
    <x v="0"/>
    <n v="64"/>
    <s v="Idaho"/>
    <x v="0"/>
    <x v="13"/>
    <x v="0"/>
    <x v="3"/>
    <x v="1"/>
    <x v="4"/>
    <x v="0"/>
    <x v="0"/>
    <n v="42"/>
    <x v="0"/>
    <x v="0"/>
  </r>
  <r>
    <n v="1058"/>
    <x v="13"/>
    <x v="0"/>
    <x v="14"/>
    <x v="2"/>
    <n v="23"/>
    <s v="Wisconsin"/>
    <x v="1"/>
    <x v="1"/>
    <x v="1"/>
    <x v="14"/>
    <x v="1"/>
    <x v="4"/>
    <x v="0"/>
    <x v="0"/>
    <n v="20"/>
    <x v="2"/>
    <x v="1"/>
  </r>
  <r>
    <n v="1059"/>
    <x v="26"/>
    <x v="0"/>
    <x v="18"/>
    <x v="3"/>
    <n v="33"/>
    <s v="New Mexico"/>
    <x v="0"/>
    <x v="10"/>
    <x v="2"/>
    <x v="0"/>
    <x v="1"/>
    <x v="2"/>
    <x v="0"/>
    <x v="0"/>
    <n v="49"/>
    <x v="4"/>
    <x v="6"/>
  </r>
  <r>
    <n v="1060"/>
    <x v="40"/>
    <x v="0"/>
    <x v="14"/>
    <x v="2"/>
    <n v="34"/>
    <s v="North Carolina"/>
    <x v="2"/>
    <x v="19"/>
    <x v="0"/>
    <x v="25"/>
    <x v="1"/>
    <x v="3"/>
    <x v="0"/>
    <x v="0"/>
    <n v="25"/>
    <x v="5"/>
    <x v="5"/>
  </r>
  <r>
    <n v="1061"/>
    <x v="7"/>
    <x v="0"/>
    <x v="1"/>
    <x v="0"/>
    <n v="35"/>
    <s v="Iowa"/>
    <x v="1"/>
    <x v="0"/>
    <x v="2"/>
    <x v="5"/>
    <x v="1"/>
    <x v="2"/>
    <x v="0"/>
    <x v="0"/>
    <n v="21"/>
    <x v="5"/>
    <x v="6"/>
  </r>
  <r>
    <n v="1062"/>
    <x v="24"/>
    <x v="0"/>
    <x v="7"/>
    <x v="2"/>
    <n v="62"/>
    <s v="Idaho"/>
    <x v="2"/>
    <x v="0"/>
    <x v="2"/>
    <x v="14"/>
    <x v="1"/>
    <x v="1"/>
    <x v="0"/>
    <x v="0"/>
    <n v="12"/>
    <x v="0"/>
    <x v="6"/>
  </r>
  <r>
    <n v="1063"/>
    <x v="35"/>
    <x v="0"/>
    <x v="23"/>
    <x v="1"/>
    <n v="75"/>
    <s v="Ohio"/>
    <x v="2"/>
    <x v="18"/>
    <x v="3"/>
    <x v="5"/>
    <x v="1"/>
    <x v="2"/>
    <x v="0"/>
    <x v="0"/>
    <n v="21"/>
    <x v="5"/>
    <x v="6"/>
  </r>
  <r>
    <n v="1064"/>
    <x v="46"/>
    <x v="0"/>
    <x v="15"/>
    <x v="0"/>
    <n v="29"/>
    <s v="Alabama"/>
    <x v="1"/>
    <x v="21"/>
    <x v="2"/>
    <x v="13"/>
    <x v="1"/>
    <x v="1"/>
    <x v="0"/>
    <x v="0"/>
    <n v="35"/>
    <x v="1"/>
    <x v="5"/>
  </r>
  <r>
    <n v="1065"/>
    <x v="50"/>
    <x v="0"/>
    <x v="19"/>
    <x v="3"/>
    <n v="28"/>
    <s v="Wyoming"/>
    <x v="2"/>
    <x v="10"/>
    <x v="1"/>
    <x v="1"/>
    <x v="1"/>
    <x v="0"/>
    <x v="0"/>
    <x v="0"/>
    <n v="42"/>
    <x v="2"/>
    <x v="6"/>
  </r>
  <r>
    <n v="1066"/>
    <x v="35"/>
    <x v="0"/>
    <x v="17"/>
    <x v="0"/>
    <n v="20"/>
    <s v="Alabama"/>
    <x v="3"/>
    <x v="24"/>
    <x v="1"/>
    <x v="7"/>
    <x v="1"/>
    <x v="5"/>
    <x v="0"/>
    <x v="0"/>
    <n v="3"/>
    <x v="3"/>
    <x v="6"/>
  </r>
  <r>
    <n v="1067"/>
    <x v="34"/>
    <x v="0"/>
    <x v="7"/>
    <x v="2"/>
    <n v="96"/>
    <s v="Mississippi"/>
    <x v="2"/>
    <x v="16"/>
    <x v="0"/>
    <x v="17"/>
    <x v="1"/>
    <x v="5"/>
    <x v="0"/>
    <x v="0"/>
    <n v="11"/>
    <x v="3"/>
    <x v="4"/>
  </r>
  <r>
    <n v="1068"/>
    <x v="20"/>
    <x v="0"/>
    <x v="10"/>
    <x v="0"/>
    <n v="43"/>
    <s v="Pennsylvania"/>
    <x v="1"/>
    <x v="15"/>
    <x v="2"/>
    <x v="2"/>
    <x v="1"/>
    <x v="4"/>
    <x v="0"/>
    <x v="0"/>
    <n v="22"/>
    <x v="3"/>
    <x v="3"/>
  </r>
  <r>
    <n v="1069"/>
    <x v="0"/>
    <x v="0"/>
    <x v="5"/>
    <x v="0"/>
    <n v="94"/>
    <s v="Wyoming"/>
    <x v="2"/>
    <x v="8"/>
    <x v="3"/>
    <x v="25"/>
    <x v="1"/>
    <x v="3"/>
    <x v="0"/>
    <x v="0"/>
    <n v="47"/>
    <x v="2"/>
    <x v="1"/>
  </r>
  <r>
    <n v="1070"/>
    <x v="21"/>
    <x v="0"/>
    <x v="11"/>
    <x v="0"/>
    <n v="81"/>
    <s v="Maryland"/>
    <x v="3"/>
    <x v="3"/>
    <x v="3"/>
    <x v="24"/>
    <x v="1"/>
    <x v="2"/>
    <x v="0"/>
    <x v="0"/>
    <n v="33"/>
    <x v="0"/>
    <x v="6"/>
  </r>
  <r>
    <n v="1071"/>
    <x v="2"/>
    <x v="0"/>
    <x v="16"/>
    <x v="3"/>
    <n v="75"/>
    <s v="North Carolina"/>
    <x v="2"/>
    <x v="23"/>
    <x v="2"/>
    <x v="13"/>
    <x v="1"/>
    <x v="1"/>
    <x v="0"/>
    <x v="0"/>
    <n v="50"/>
    <x v="5"/>
    <x v="1"/>
  </r>
  <r>
    <n v="1072"/>
    <x v="12"/>
    <x v="0"/>
    <x v="19"/>
    <x v="3"/>
    <n v="81"/>
    <s v="Pennsylvania"/>
    <x v="2"/>
    <x v="19"/>
    <x v="2"/>
    <x v="5"/>
    <x v="1"/>
    <x v="0"/>
    <x v="0"/>
    <x v="0"/>
    <n v="46"/>
    <x v="2"/>
    <x v="5"/>
  </r>
  <r>
    <n v="1073"/>
    <x v="39"/>
    <x v="0"/>
    <x v="6"/>
    <x v="0"/>
    <n v="92"/>
    <s v="Idaho"/>
    <x v="0"/>
    <x v="9"/>
    <x v="3"/>
    <x v="1"/>
    <x v="1"/>
    <x v="0"/>
    <x v="0"/>
    <x v="0"/>
    <n v="34"/>
    <x v="5"/>
    <x v="0"/>
  </r>
  <r>
    <n v="1074"/>
    <x v="40"/>
    <x v="0"/>
    <x v="18"/>
    <x v="3"/>
    <n v="96"/>
    <s v="California"/>
    <x v="3"/>
    <x v="7"/>
    <x v="1"/>
    <x v="17"/>
    <x v="1"/>
    <x v="5"/>
    <x v="0"/>
    <x v="0"/>
    <n v="33"/>
    <x v="2"/>
    <x v="5"/>
  </r>
  <r>
    <n v="1075"/>
    <x v="39"/>
    <x v="0"/>
    <x v="16"/>
    <x v="3"/>
    <n v="71"/>
    <s v="Tennessee"/>
    <x v="1"/>
    <x v="3"/>
    <x v="3"/>
    <x v="5"/>
    <x v="1"/>
    <x v="3"/>
    <x v="0"/>
    <x v="0"/>
    <n v="45"/>
    <x v="4"/>
    <x v="0"/>
  </r>
  <r>
    <n v="1076"/>
    <x v="9"/>
    <x v="0"/>
    <x v="12"/>
    <x v="3"/>
    <n v="50"/>
    <s v="Missouri"/>
    <x v="0"/>
    <x v="21"/>
    <x v="2"/>
    <x v="8"/>
    <x v="1"/>
    <x v="2"/>
    <x v="0"/>
    <x v="0"/>
    <n v="32"/>
    <x v="5"/>
    <x v="4"/>
  </r>
  <r>
    <n v="1077"/>
    <x v="23"/>
    <x v="0"/>
    <x v="7"/>
    <x v="2"/>
    <n v="72"/>
    <s v="North Dakota"/>
    <x v="0"/>
    <x v="4"/>
    <x v="1"/>
    <x v="3"/>
    <x v="1"/>
    <x v="3"/>
    <x v="0"/>
    <x v="0"/>
    <n v="47"/>
    <x v="0"/>
    <x v="4"/>
  </r>
  <r>
    <n v="1078"/>
    <x v="44"/>
    <x v="0"/>
    <x v="14"/>
    <x v="2"/>
    <n v="28"/>
    <s v="West Virginia"/>
    <x v="2"/>
    <x v="6"/>
    <x v="0"/>
    <x v="18"/>
    <x v="1"/>
    <x v="3"/>
    <x v="0"/>
    <x v="0"/>
    <n v="5"/>
    <x v="3"/>
    <x v="3"/>
  </r>
  <r>
    <n v="1079"/>
    <x v="43"/>
    <x v="0"/>
    <x v="1"/>
    <x v="0"/>
    <n v="59"/>
    <s v="Arizona"/>
    <x v="2"/>
    <x v="5"/>
    <x v="3"/>
    <x v="14"/>
    <x v="1"/>
    <x v="0"/>
    <x v="0"/>
    <x v="0"/>
    <n v="49"/>
    <x v="2"/>
    <x v="0"/>
  </r>
  <r>
    <n v="1080"/>
    <x v="20"/>
    <x v="0"/>
    <x v="7"/>
    <x v="2"/>
    <n v="33"/>
    <s v="Oklahoma"/>
    <x v="1"/>
    <x v="24"/>
    <x v="2"/>
    <x v="14"/>
    <x v="1"/>
    <x v="1"/>
    <x v="0"/>
    <x v="0"/>
    <n v="48"/>
    <x v="4"/>
    <x v="5"/>
  </r>
  <r>
    <n v="1081"/>
    <x v="13"/>
    <x v="0"/>
    <x v="18"/>
    <x v="3"/>
    <n v="59"/>
    <s v="Pennsylvania"/>
    <x v="0"/>
    <x v="24"/>
    <x v="3"/>
    <x v="22"/>
    <x v="1"/>
    <x v="0"/>
    <x v="0"/>
    <x v="0"/>
    <n v="22"/>
    <x v="1"/>
    <x v="6"/>
  </r>
  <r>
    <n v="1082"/>
    <x v="46"/>
    <x v="0"/>
    <x v="22"/>
    <x v="3"/>
    <n v="30"/>
    <s v="Idaho"/>
    <x v="3"/>
    <x v="18"/>
    <x v="1"/>
    <x v="9"/>
    <x v="1"/>
    <x v="3"/>
    <x v="0"/>
    <x v="0"/>
    <n v="45"/>
    <x v="2"/>
    <x v="2"/>
  </r>
  <r>
    <n v="1083"/>
    <x v="22"/>
    <x v="0"/>
    <x v="19"/>
    <x v="3"/>
    <n v="85"/>
    <s v="South Carolina"/>
    <x v="3"/>
    <x v="17"/>
    <x v="0"/>
    <x v="5"/>
    <x v="1"/>
    <x v="2"/>
    <x v="0"/>
    <x v="0"/>
    <n v="30"/>
    <x v="0"/>
    <x v="3"/>
  </r>
  <r>
    <n v="1084"/>
    <x v="25"/>
    <x v="0"/>
    <x v="21"/>
    <x v="3"/>
    <n v="97"/>
    <s v="Washington"/>
    <x v="0"/>
    <x v="11"/>
    <x v="2"/>
    <x v="13"/>
    <x v="1"/>
    <x v="5"/>
    <x v="0"/>
    <x v="0"/>
    <n v="43"/>
    <x v="1"/>
    <x v="1"/>
  </r>
  <r>
    <n v="1085"/>
    <x v="50"/>
    <x v="0"/>
    <x v="17"/>
    <x v="0"/>
    <n v="36"/>
    <s v="Arkansas"/>
    <x v="1"/>
    <x v="7"/>
    <x v="3"/>
    <x v="7"/>
    <x v="1"/>
    <x v="2"/>
    <x v="0"/>
    <x v="0"/>
    <n v="48"/>
    <x v="1"/>
    <x v="3"/>
  </r>
  <r>
    <n v="1086"/>
    <x v="15"/>
    <x v="0"/>
    <x v="16"/>
    <x v="3"/>
    <n v="85"/>
    <s v="Utah"/>
    <x v="2"/>
    <x v="2"/>
    <x v="0"/>
    <x v="21"/>
    <x v="1"/>
    <x v="5"/>
    <x v="0"/>
    <x v="0"/>
    <n v="23"/>
    <x v="0"/>
    <x v="0"/>
  </r>
  <r>
    <n v="1087"/>
    <x v="10"/>
    <x v="0"/>
    <x v="12"/>
    <x v="3"/>
    <n v="62"/>
    <s v="Alaska"/>
    <x v="2"/>
    <x v="8"/>
    <x v="0"/>
    <x v="21"/>
    <x v="1"/>
    <x v="1"/>
    <x v="0"/>
    <x v="0"/>
    <n v="27"/>
    <x v="3"/>
    <x v="4"/>
  </r>
  <r>
    <n v="1088"/>
    <x v="4"/>
    <x v="0"/>
    <x v="2"/>
    <x v="0"/>
    <n v="71"/>
    <s v="West Virginia"/>
    <x v="1"/>
    <x v="3"/>
    <x v="0"/>
    <x v="23"/>
    <x v="1"/>
    <x v="2"/>
    <x v="0"/>
    <x v="0"/>
    <n v="7"/>
    <x v="4"/>
    <x v="5"/>
  </r>
  <r>
    <n v="1089"/>
    <x v="34"/>
    <x v="0"/>
    <x v="13"/>
    <x v="0"/>
    <n v="21"/>
    <s v="Louisiana"/>
    <x v="2"/>
    <x v="2"/>
    <x v="0"/>
    <x v="2"/>
    <x v="1"/>
    <x v="1"/>
    <x v="0"/>
    <x v="0"/>
    <n v="2"/>
    <x v="3"/>
    <x v="1"/>
  </r>
  <r>
    <n v="1090"/>
    <x v="37"/>
    <x v="0"/>
    <x v="21"/>
    <x v="3"/>
    <n v="61"/>
    <s v="Arizona"/>
    <x v="2"/>
    <x v="5"/>
    <x v="1"/>
    <x v="22"/>
    <x v="1"/>
    <x v="2"/>
    <x v="0"/>
    <x v="0"/>
    <n v="33"/>
    <x v="3"/>
    <x v="4"/>
  </r>
  <r>
    <n v="1091"/>
    <x v="21"/>
    <x v="0"/>
    <x v="18"/>
    <x v="3"/>
    <n v="58"/>
    <s v="Connecticut"/>
    <x v="2"/>
    <x v="10"/>
    <x v="1"/>
    <x v="19"/>
    <x v="1"/>
    <x v="5"/>
    <x v="0"/>
    <x v="0"/>
    <n v="27"/>
    <x v="1"/>
    <x v="0"/>
  </r>
  <r>
    <n v="1092"/>
    <x v="42"/>
    <x v="0"/>
    <x v="1"/>
    <x v="0"/>
    <n v="80"/>
    <s v="North Carolina"/>
    <x v="0"/>
    <x v="12"/>
    <x v="1"/>
    <x v="10"/>
    <x v="1"/>
    <x v="5"/>
    <x v="0"/>
    <x v="0"/>
    <n v="6"/>
    <x v="2"/>
    <x v="0"/>
  </r>
  <r>
    <n v="1093"/>
    <x v="33"/>
    <x v="0"/>
    <x v="16"/>
    <x v="3"/>
    <n v="50"/>
    <s v="South Dakota"/>
    <x v="0"/>
    <x v="23"/>
    <x v="1"/>
    <x v="7"/>
    <x v="1"/>
    <x v="4"/>
    <x v="0"/>
    <x v="0"/>
    <n v="20"/>
    <x v="0"/>
    <x v="3"/>
  </r>
  <r>
    <n v="1094"/>
    <x v="52"/>
    <x v="0"/>
    <x v="4"/>
    <x v="1"/>
    <n v="48"/>
    <s v="Delaware"/>
    <x v="1"/>
    <x v="21"/>
    <x v="0"/>
    <x v="19"/>
    <x v="1"/>
    <x v="4"/>
    <x v="0"/>
    <x v="0"/>
    <n v="46"/>
    <x v="0"/>
    <x v="6"/>
  </r>
  <r>
    <n v="1095"/>
    <x v="15"/>
    <x v="0"/>
    <x v="16"/>
    <x v="3"/>
    <n v="40"/>
    <s v="Connecticut"/>
    <x v="2"/>
    <x v="13"/>
    <x v="0"/>
    <x v="6"/>
    <x v="1"/>
    <x v="2"/>
    <x v="0"/>
    <x v="0"/>
    <n v="25"/>
    <x v="1"/>
    <x v="3"/>
  </r>
  <r>
    <n v="1096"/>
    <x v="1"/>
    <x v="0"/>
    <x v="7"/>
    <x v="2"/>
    <n v="34"/>
    <s v="Tennessee"/>
    <x v="1"/>
    <x v="15"/>
    <x v="2"/>
    <x v="21"/>
    <x v="1"/>
    <x v="1"/>
    <x v="0"/>
    <x v="0"/>
    <n v="30"/>
    <x v="4"/>
    <x v="3"/>
  </r>
  <r>
    <n v="1097"/>
    <x v="9"/>
    <x v="0"/>
    <x v="7"/>
    <x v="2"/>
    <n v="46"/>
    <s v="New Hampshire"/>
    <x v="1"/>
    <x v="19"/>
    <x v="3"/>
    <x v="5"/>
    <x v="1"/>
    <x v="3"/>
    <x v="0"/>
    <x v="0"/>
    <n v="48"/>
    <x v="2"/>
    <x v="2"/>
  </r>
  <r>
    <n v="1098"/>
    <x v="44"/>
    <x v="0"/>
    <x v="12"/>
    <x v="3"/>
    <n v="27"/>
    <s v="Vermont"/>
    <x v="2"/>
    <x v="13"/>
    <x v="2"/>
    <x v="4"/>
    <x v="1"/>
    <x v="5"/>
    <x v="0"/>
    <x v="0"/>
    <n v="47"/>
    <x v="4"/>
    <x v="1"/>
  </r>
  <r>
    <n v="1099"/>
    <x v="34"/>
    <x v="0"/>
    <x v="8"/>
    <x v="3"/>
    <n v="98"/>
    <s v="Idaho"/>
    <x v="1"/>
    <x v="2"/>
    <x v="1"/>
    <x v="15"/>
    <x v="1"/>
    <x v="2"/>
    <x v="0"/>
    <x v="0"/>
    <n v="27"/>
    <x v="2"/>
    <x v="1"/>
  </r>
  <r>
    <n v="1100"/>
    <x v="1"/>
    <x v="0"/>
    <x v="1"/>
    <x v="0"/>
    <n v="73"/>
    <s v="North Carolina"/>
    <x v="2"/>
    <x v="15"/>
    <x v="3"/>
    <x v="5"/>
    <x v="1"/>
    <x v="2"/>
    <x v="0"/>
    <x v="0"/>
    <n v="45"/>
    <x v="4"/>
    <x v="0"/>
  </r>
  <r>
    <n v="1101"/>
    <x v="2"/>
    <x v="0"/>
    <x v="13"/>
    <x v="0"/>
    <n v="28"/>
    <s v="Nevada"/>
    <x v="0"/>
    <x v="9"/>
    <x v="1"/>
    <x v="14"/>
    <x v="1"/>
    <x v="0"/>
    <x v="0"/>
    <x v="0"/>
    <n v="2"/>
    <x v="2"/>
    <x v="1"/>
  </r>
  <r>
    <n v="1102"/>
    <x v="11"/>
    <x v="0"/>
    <x v="24"/>
    <x v="3"/>
    <n v="76"/>
    <s v="Delaware"/>
    <x v="3"/>
    <x v="5"/>
    <x v="3"/>
    <x v="21"/>
    <x v="1"/>
    <x v="1"/>
    <x v="0"/>
    <x v="0"/>
    <n v="39"/>
    <x v="1"/>
    <x v="0"/>
  </r>
  <r>
    <n v="1103"/>
    <x v="16"/>
    <x v="0"/>
    <x v="1"/>
    <x v="0"/>
    <n v="83"/>
    <s v="Texas"/>
    <x v="2"/>
    <x v="15"/>
    <x v="3"/>
    <x v="3"/>
    <x v="1"/>
    <x v="0"/>
    <x v="0"/>
    <x v="0"/>
    <n v="24"/>
    <x v="1"/>
    <x v="0"/>
  </r>
  <r>
    <n v="1104"/>
    <x v="25"/>
    <x v="0"/>
    <x v="15"/>
    <x v="0"/>
    <n v="23"/>
    <s v="Tennessee"/>
    <x v="1"/>
    <x v="4"/>
    <x v="1"/>
    <x v="24"/>
    <x v="1"/>
    <x v="1"/>
    <x v="0"/>
    <x v="0"/>
    <n v="8"/>
    <x v="5"/>
    <x v="4"/>
  </r>
  <r>
    <n v="1105"/>
    <x v="25"/>
    <x v="0"/>
    <x v="19"/>
    <x v="3"/>
    <n v="28"/>
    <s v="Delaware"/>
    <x v="2"/>
    <x v="19"/>
    <x v="3"/>
    <x v="0"/>
    <x v="1"/>
    <x v="0"/>
    <x v="0"/>
    <x v="0"/>
    <n v="8"/>
    <x v="4"/>
    <x v="3"/>
  </r>
  <r>
    <n v="1106"/>
    <x v="23"/>
    <x v="0"/>
    <x v="17"/>
    <x v="0"/>
    <n v="83"/>
    <s v="Massachusetts"/>
    <x v="1"/>
    <x v="8"/>
    <x v="1"/>
    <x v="21"/>
    <x v="1"/>
    <x v="2"/>
    <x v="0"/>
    <x v="0"/>
    <n v="6"/>
    <x v="0"/>
    <x v="6"/>
  </r>
  <r>
    <n v="1107"/>
    <x v="16"/>
    <x v="0"/>
    <x v="11"/>
    <x v="0"/>
    <n v="96"/>
    <s v="Minnesota"/>
    <x v="0"/>
    <x v="10"/>
    <x v="0"/>
    <x v="15"/>
    <x v="1"/>
    <x v="5"/>
    <x v="0"/>
    <x v="0"/>
    <n v="12"/>
    <x v="0"/>
    <x v="0"/>
  </r>
  <r>
    <n v="1108"/>
    <x v="28"/>
    <x v="0"/>
    <x v="4"/>
    <x v="1"/>
    <n v="62"/>
    <s v="Texas"/>
    <x v="2"/>
    <x v="15"/>
    <x v="3"/>
    <x v="11"/>
    <x v="1"/>
    <x v="5"/>
    <x v="0"/>
    <x v="0"/>
    <n v="26"/>
    <x v="4"/>
    <x v="1"/>
  </r>
  <r>
    <n v="1109"/>
    <x v="7"/>
    <x v="0"/>
    <x v="6"/>
    <x v="0"/>
    <n v="25"/>
    <s v="Nebraska"/>
    <x v="2"/>
    <x v="11"/>
    <x v="3"/>
    <x v="11"/>
    <x v="1"/>
    <x v="3"/>
    <x v="0"/>
    <x v="0"/>
    <n v="50"/>
    <x v="1"/>
    <x v="0"/>
  </r>
  <r>
    <n v="1110"/>
    <x v="17"/>
    <x v="0"/>
    <x v="15"/>
    <x v="0"/>
    <n v="97"/>
    <s v="Oklahoma"/>
    <x v="0"/>
    <x v="10"/>
    <x v="0"/>
    <x v="8"/>
    <x v="1"/>
    <x v="2"/>
    <x v="0"/>
    <x v="0"/>
    <n v="2"/>
    <x v="0"/>
    <x v="1"/>
  </r>
  <r>
    <n v="1111"/>
    <x v="48"/>
    <x v="0"/>
    <x v="15"/>
    <x v="0"/>
    <n v="61"/>
    <s v="Texas"/>
    <x v="0"/>
    <x v="17"/>
    <x v="3"/>
    <x v="21"/>
    <x v="1"/>
    <x v="3"/>
    <x v="0"/>
    <x v="0"/>
    <n v="31"/>
    <x v="1"/>
    <x v="4"/>
  </r>
  <r>
    <n v="1112"/>
    <x v="40"/>
    <x v="0"/>
    <x v="9"/>
    <x v="1"/>
    <n v="66"/>
    <s v="New York"/>
    <x v="1"/>
    <x v="8"/>
    <x v="2"/>
    <x v="7"/>
    <x v="1"/>
    <x v="2"/>
    <x v="0"/>
    <x v="0"/>
    <n v="4"/>
    <x v="2"/>
    <x v="4"/>
  </r>
  <r>
    <n v="1113"/>
    <x v="28"/>
    <x v="0"/>
    <x v="15"/>
    <x v="0"/>
    <n v="67"/>
    <s v="Washington"/>
    <x v="3"/>
    <x v="6"/>
    <x v="1"/>
    <x v="12"/>
    <x v="1"/>
    <x v="1"/>
    <x v="0"/>
    <x v="0"/>
    <n v="32"/>
    <x v="3"/>
    <x v="3"/>
  </r>
  <r>
    <n v="1114"/>
    <x v="48"/>
    <x v="0"/>
    <x v="12"/>
    <x v="3"/>
    <n v="80"/>
    <s v="Maryland"/>
    <x v="2"/>
    <x v="7"/>
    <x v="2"/>
    <x v="6"/>
    <x v="1"/>
    <x v="2"/>
    <x v="0"/>
    <x v="0"/>
    <n v="11"/>
    <x v="3"/>
    <x v="4"/>
  </r>
  <r>
    <n v="1115"/>
    <x v="0"/>
    <x v="0"/>
    <x v="11"/>
    <x v="0"/>
    <n v="25"/>
    <s v="New Hampshire"/>
    <x v="0"/>
    <x v="10"/>
    <x v="3"/>
    <x v="5"/>
    <x v="1"/>
    <x v="2"/>
    <x v="0"/>
    <x v="0"/>
    <n v="47"/>
    <x v="4"/>
    <x v="6"/>
  </r>
  <r>
    <n v="1116"/>
    <x v="11"/>
    <x v="0"/>
    <x v="19"/>
    <x v="3"/>
    <n v="58"/>
    <s v="New York"/>
    <x v="1"/>
    <x v="15"/>
    <x v="3"/>
    <x v="17"/>
    <x v="1"/>
    <x v="4"/>
    <x v="0"/>
    <x v="0"/>
    <n v="37"/>
    <x v="1"/>
    <x v="1"/>
  </r>
  <r>
    <n v="1117"/>
    <x v="29"/>
    <x v="0"/>
    <x v="21"/>
    <x v="3"/>
    <n v="96"/>
    <s v="Hawaii"/>
    <x v="2"/>
    <x v="4"/>
    <x v="0"/>
    <x v="19"/>
    <x v="1"/>
    <x v="0"/>
    <x v="0"/>
    <x v="0"/>
    <n v="39"/>
    <x v="3"/>
    <x v="0"/>
  </r>
  <r>
    <n v="1118"/>
    <x v="15"/>
    <x v="0"/>
    <x v="12"/>
    <x v="3"/>
    <n v="77"/>
    <s v="California"/>
    <x v="0"/>
    <x v="12"/>
    <x v="1"/>
    <x v="9"/>
    <x v="1"/>
    <x v="5"/>
    <x v="0"/>
    <x v="0"/>
    <n v="24"/>
    <x v="2"/>
    <x v="5"/>
  </r>
  <r>
    <n v="1119"/>
    <x v="34"/>
    <x v="0"/>
    <x v="22"/>
    <x v="3"/>
    <n v="65"/>
    <s v="Indiana"/>
    <x v="2"/>
    <x v="7"/>
    <x v="2"/>
    <x v="8"/>
    <x v="1"/>
    <x v="3"/>
    <x v="0"/>
    <x v="0"/>
    <n v="11"/>
    <x v="3"/>
    <x v="6"/>
  </r>
  <r>
    <n v="1120"/>
    <x v="50"/>
    <x v="0"/>
    <x v="16"/>
    <x v="3"/>
    <n v="36"/>
    <s v="Louisiana"/>
    <x v="2"/>
    <x v="21"/>
    <x v="1"/>
    <x v="0"/>
    <x v="1"/>
    <x v="3"/>
    <x v="0"/>
    <x v="0"/>
    <n v="36"/>
    <x v="2"/>
    <x v="1"/>
  </r>
  <r>
    <n v="1121"/>
    <x v="40"/>
    <x v="0"/>
    <x v="4"/>
    <x v="1"/>
    <n v="84"/>
    <s v="Pennsylvania"/>
    <x v="2"/>
    <x v="23"/>
    <x v="0"/>
    <x v="17"/>
    <x v="1"/>
    <x v="2"/>
    <x v="0"/>
    <x v="0"/>
    <n v="40"/>
    <x v="5"/>
    <x v="5"/>
  </r>
  <r>
    <n v="1122"/>
    <x v="6"/>
    <x v="0"/>
    <x v="17"/>
    <x v="0"/>
    <n v="58"/>
    <s v="Florida"/>
    <x v="3"/>
    <x v="15"/>
    <x v="3"/>
    <x v="4"/>
    <x v="1"/>
    <x v="0"/>
    <x v="0"/>
    <x v="0"/>
    <n v="25"/>
    <x v="1"/>
    <x v="3"/>
  </r>
  <r>
    <n v="1123"/>
    <x v="27"/>
    <x v="0"/>
    <x v="8"/>
    <x v="3"/>
    <n v="62"/>
    <s v="North Carolina"/>
    <x v="1"/>
    <x v="4"/>
    <x v="1"/>
    <x v="24"/>
    <x v="1"/>
    <x v="4"/>
    <x v="0"/>
    <x v="0"/>
    <n v="12"/>
    <x v="2"/>
    <x v="2"/>
  </r>
  <r>
    <n v="1124"/>
    <x v="24"/>
    <x v="0"/>
    <x v="19"/>
    <x v="3"/>
    <n v="67"/>
    <s v="Massachusetts"/>
    <x v="1"/>
    <x v="7"/>
    <x v="3"/>
    <x v="25"/>
    <x v="1"/>
    <x v="5"/>
    <x v="0"/>
    <x v="0"/>
    <n v="38"/>
    <x v="1"/>
    <x v="5"/>
  </r>
  <r>
    <n v="1125"/>
    <x v="32"/>
    <x v="0"/>
    <x v="1"/>
    <x v="0"/>
    <n v="20"/>
    <s v="Iowa"/>
    <x v="2"/>
    <x v="20"/>
    <x v="1"/>
    <x v="8"/>
    <x v="1"/>
    <x v="0"/>
    <x v="0"/>
    <x v="0"/>
    <n v="40"/>
    <x v="1"/>
    <x v="3"/>
  </r>
  <r>
    <n v="1126"/>
    <x v="7"/>
    <x v="0"/>
    <x v="3"/>
    <x v="1"/>
    <n v="90"/>
    <s v="North Dakota"/>
    <x v="2"/>
    <x v="12"/>
    <x v="2"/>
    <x v="2"/>
    <x v="1"/>
    <x v="4"/>
    <x v="0"/>
    <x v="0"/>
    <n v="10"/>
    <x v="4"/>
    <x v="1"/>
  </r>
  <r>
    <n v="1127"/>
    <x v="51"/>
    <x v="0"/>
    <x v="18"/>
    <x v="3"/>
    <n v="58"/>
    <s v="Iowa"/>
    <x v="0"/>
    <x v="19"/>
    <x v="0"/>
    <x v="23"/>
    <x v="1"/>
    <x v="3"/>
    <x v="0"/>
    <x v="0"/>
    <n v="47"/>
    <x v="0"/>
    <x v="0"/>
  </r>
  <r>
    <n v="1128"/>
    <x v="2"/>
    <x v="0"/>
    <x v="5"/>
    <x v="0"/>
    <n v="53"/>
    <s v="Delaware"/>
    <x v="3"/>
    <x v="1"/>
    <x v="1"/>
    <x v="6"/>
    <x v="1"/>
    <x v="5"/>
    <x v="0"/>
    <x v="0"/>
    <n v="22"/>
    <x v="5"/>
    <x v="5"/>
  </r>
  <r>
    <n v="1129"/>
    <x v="19"/>
    <x v="0"/>
    <x v="24"/>
    <x v="3"/>
    <n v="30"/>
    <s v="New York"/>
    <x v="0"/>
    <x v="4"/>
    <x v="0"/>
    <x v="10"/>
    <x v="1"/>
    <x v="2"/>
    <x v="0"/>
    <x v="0"/>
    <n v="35"/>
    <x v="5"/>
    <x v="5"/>
  </r>
  <r>
    <n v="1130"/>
    <x v="43"/>
    <x v="0"/>
    <x v="15"/>
    <x v="0"/>
    <n v="65"/>
    <s v="New Hampshire"/>
    <x v="3"/>
    <x v="3"/>
    <x v="0"/>
    <x v="10"/>
    <x v="1"/>
    <x v="0"/>
    <x v="0"/>
    <x v="0"/>
    <n v="46"/>
    <x v="0"/>
    <x v="0"/>
  </r>
  <r>
    <n v="1131"/>
    <x v="29"/>
    <x v="0"/>
    <x v="16"/>
    <x v="3"/>
    <n v="41"/>
    <s v="Kentucky"/>
    <x v="2"/>
    <x v="12"/>
    <x v="2"/>
    <x v="20"/>
    <x v="1"/>
    <x v="3"/>
    <x v="0"/>
    <x v="0"/>
    <n v="30"/>
    <x v="3"/>
    <x v="4"/>
  </r>
  <r>
    <n v="1132"/>
    <x v="29"/>
    <x v="0"/>
    <x v="5"/>
    <x v="0"/>
    <n v="73"/>
    <s v="Illinois"/>
    <x v="2"/>
    <x v="13"/>
    <x v="1"/>
    <x v="18"/>
    <x v="1"/>
    <x v="0"/>
    <x v="0"/>
    <x v="0"/>
    <n v="20"/>
    <x v="4"/>
    <x v="5"/>
  </r>
  <r>
    <n v="1133"/>
    <x v="2"/>
    <x v="0"/>
    <x v="15"/>
    <x v="0"/>
    <n v="98"/>
    <s v="North Carolina"/>
    <x v="1"/>
    <x v="11"/>
    <x v="1"/>
    <x v="24"/>
    <x v="1"/>
    <x v="5"/>
    <x v="0"/>
    <x v="0"/>
    <n v="25"/>
    <x v="1"/>
    <x v="0"/>
  </r>
  <r>
    <n v="1134"/>
    <x v="24"/>
    <x v="0"/>
    <x v="9"/>
    <x v="1"/>
    <n v="36"/>
    <s v="Connecticut"/>
    <x v="3"/>
    <x v="23"/>
    <x v="0"/>
    <x v="7"/>
    <x v="1"/>
    <x v="4"/>
    <x v="0"/>
    <x v="0"/>
    <n v="29"/>
    <x v="1"/>
    <x v="1"/>
  </r>
  <r>
    <n v="1135"/>
    <x v="46"/>
    <x v="0"/>
    <x v="17"/>
    <x v="0"/>
    <n v="81"/>
    <s v="Wisconsin"/>
    <x v="2"/>
    <x v="18"/>
    <x v="2"/>
    <x v="12"/>
    <x v="1"/>
    <x v="0"/>
    <x v="0"/>
    <x v="0"/>
    <n v="2"/>
    <x v="0"/>
    <x v="6"/>
  </r>
  <r>
    <n v="1136"/>
    <x v="13"/>
    <x v="0"/>
    <x v="11"/>
    <x v="0"/>
    <n v="90"/>
    <s v="Massachusetts"/>
    <x v="0"/>
    <x v="15"/>
    <x v="0"/>
    <x v="15"/>
    <x v="1"/>
    <x v="4"/>
    <x v="0"/>
    <x v="0"/>
    <n v="32"/>
    <x v="4"/>
    <x v="3"/>
  </r>
  <r>
    <n v="1137"/>
    <x v="51"/>
    <x v="0"/>
    <x v="8"/>
    <x v="3"/>
    <n v="83"/>
    <s v="Illinois"/>
    <x v="1"/>
    <x v="17"/>
    <x v="2"/>
    <x v="6"/>
    <x v="1"/>
    <x v="1"/>
    <x v="0"/>
    <x v="0"/>
    <n v="37"/>
    <x v="1"/>
    <x v="5"/>
  </r>
  <r>
    <n v="1138"/>
    <x v="5"/>
    <x v="0"/>
    <x v="5"/>
    <x v="0"/>
    <n v="91"/>
    <s v="New Mexico"/>
    <x v="3"/>
    <x v="6"/>
    <x v="0"/>
    <x v="11"/>
    <x v="1"/>
    <x v="4"/>
    <x v="0"/>
    <x v="0"/>
    <n v="16"/>
    <x v="4"/>
    <x v="6"/>
  </r>
  <r>
    <n v="1139"/>
    <x v="20"/>
    <x v="0"/>
    <x v="13"/>
    <x v="0"/>
    <n v="36"/>
    <s v="Iowa"/>
    <x v="2"/>
    <x v="7"/>
    <x v="2"/>
    <x v="10"/>
    <x v="1"/>
    <x v="0"/>
    <x v="0"/>
    <x v="0"/>
    <n v="32"/>
    <x v="0"/>
    <x v="0"/>
  </r>
  <r>
    <n v="1140"/>
    <x v="44"/>
    <x v="0"/>
    <x v="7"/>
    <x v="2"/>
    <n v="53"/>
    <s v="Alabama"/>
    <x v="0"/>
    <x v="7"/>
    <x v="1"/>
    <x v="20"/>
    <x v="1"/>
    <x v="3"/>
    <x v="0"/>
    <x v="0"/>
    <n v="42"/>
    <x v="5"/>
    <x v="4"/>
  </r>
  <r>
    <n v="1141"/>
    <x v="18"/>
    <x v="0"/>
    <x v="2"/>
    <x v="0"/>
    <n v="39"/>
    <s v="Maryland"/>
    <x v="2"/>
    <x v="3"/>
    <x v="0"/>
    <x v="5"/>
    <x v="1"/>
    <x v="5"/>
    <x v="0"/>
    <x v="0"/>
    <n v="6"/>
    <x v="2"/>
    <x v="6"/>
  </r>
  <r>
    <n v="1142"/>
    <x v="31"/>
    <x v="0"/>
    <x v="24"/>
    <x v="3"/>
    <n v="33"/>
    <s v="Ohio"/>
    <x v="1"/>
    <x v="5"/>
    <x v="0"/>
    <x v="10"/>
    <x v="1"/>
    <x v="2"/>
    <x v="0"/>
    <x v="0"/>
    <n v="23"/>
    <x v="3"/>
    <x v="0"/>
  </r>
  <r>
    <n v="1143"/>
    <x v="28"/>
    <x v="0"/>
    <x v="17"/>
    <x v="0"/>
    <n v="76"/>
    <s v="Ohio"/>
    <x v="0"/>
    <x v="14"/>
    <x v="1"/>
    <x v="1"/>
    <x v="1"/>
    <x v="5"/>
    <x v="0"/>
    <x v="0"/>
    <n v="27"/>
    <x v="0"/>
    <x v="4"/>
  </r>
  <r>
    <n v="1144"/>
    <x v="33"/>
    <x v="0"/>
    <x v="23"/>
    <x v="1"/>
    <n v="23"/>
    <s v="Nevada"/>
    <x v="0"/>
    <x v="11"/>
    <x v="0"/>
    <x v="14"/>
    <x v="1"/>
    <x v="3"/>
    <x v="0"/>
    <x v="0"/>
    <n v="43"/>
    <x v="3"/>
    <x v="3"/>
  </r>
  <r>
    <n v="1145"/>
    <x v="38"/>
    <x v="0"/>
    <x v="2"/>
    <x v="0"/>
    <n v="54"/>
    <s v="South Carolina"/>
    <x v="1"/>
    <x v="21"/>
    <x v="3"/>
    <x v="14"/>
    <x v="1"/>
    <x v="4"/>
    <x v="0"/>
    <x v="0"/>
    <n v="25"/>
    <x v="4"/>
    <x v="0"/>
  </r>
  <r>
    <n v="1146"/>
    <x v="18"/>
    <x v="0"/>
    <x v="4"/>
    <x v="1"/>
    <n v="89"/>
    <s v="Nevada"/>
    <x v="0"/>
    <x v="6"/>
    <x v="2"/>
    <x v="21"/>
    <x v="1"/>
    <x v="0"/>
    <x v="0"/>
    <x v="0"/>
    <n v="30"/>
    <x v="1"/>
    <x v="6"/>
  </r>
  <r>
    <n v="1147"/>
    <x v="39"/>
    <x v="0"/>
    <x v="4"/>
    <x v="1"/>
    <n v="38"/>
    <s v="Wisconsin"/>
    <x v="2"/>
    <x v="21"/>
    <x v="2"/>
    <x v="19"/>
    <x v="1"/>
    <x v="3"/>
    <x v="0"/>
    <x v="0"/>
    <n v="7"/>
    <x v="4"/>
    <x v="6"/>
  </r>
  <r>
    <n v="1148"/>
    <x v="35"/>
    <x v="0"/>
    <x v="19"/>
    <x v="3"/>
    <n v="36"/>
    <s v="Tennessee"/>
    <x v="3"/>
    <x v="16"/>
    <x v="0"/>
    <x v="24"/>
    <x v="1"/>
    <x v="2"/>
    <x v="0"/>
    <x v="0"/>
    <n v="17"/>
    <x v="5"/>
    <x v="2"/>
  </r>
  <r>
    <n v="1149"/>
    <x v="50"/>
    <x v="0"/>
    <x v="13"/>
    <x v="0"/>
    <n v="66"/>
    <s v="Florida"/>
    <x v="2"/>
    <x v="10"/>
    <x v="1"/>
    <x v="5"/>
    <x v="1"/>
    <x v="5"/>
    <x v="0"/>
    <x v="0"/>
    <n v="10"/>
    <x v="3"/>
    <x v="0"/>
  </r>
  <r>
    <n v="1150"/>
    <x v="3"/>
    <x v="0"/>
    <x v="16"/>
    <x v="3"/>
    <n v="42"/>
    <s v="Georgia"/>
    <x v="0"/>
    <x v="17"/>
    <x v="1"/>
    <x v="13"/>
    <x v="1"/>
    <x v="5"/>
    <x v="0"/>
    <x v="0"/>
    <n v="40"/>
    <x v="0"/>
    <x v="2"/>
  </r>
  <r>
    <n v="1151"/>
    <x v="26"/>
    <x v="0"/>
    <x v="16"/>
    <x v="3"/>
    <n v="36"/>
    <s v="Kentucky"/>
    <x v="1"/>
    <x v="16"/>
    <x v="0"/>
    <x v="2"/>
    <x v="1"/>
    <x v="2"/>
    <x v="0"/>
    <x v="0"/>
    <n v="50"/>
    <x v="0"/>
    <x v="4"/>
  </r>
  <r>
    <n v="1152"/>
    <x v="38"/>
    <x v="0"/>
    <x v="0"/>
    <x v="0"/>
    <n v="86"/>
    <s v="Ohio"/>
    <x v="2"/>
    <x v="0"/>
    <x v="1"/>
    <x v="19"/>
    <x v="1"/>
    <x v="0"/>
    <x v="0"/>
    <x v="0"/>
    <n v="24"/>
    <x v="2"/>
    <x v="1"/>
  </r>
  <r>
    <n v="1153"/>
    <x v="46"/>
    <x v="0"/>
    <x v="8"/>
    <x v="3"/>
    <n v="49"/>
    <s v="Connecticut"/>
    <x v="2"/>
    <x v="9"/>
    <x v="3"/>
    <x v="17"/>
    <x v="1"/>
    <x v="3"/>
    <x v="0"/>
    <x v="0"/>
    <n v="8"/>
    <x v="3"/>
    <x v="6"/>
  </r>
  <r>
    <n v="1154"/>
    <x v="7"/>
    <x v="0"/>
    <x v="5"/>
    <x v="0"/>
    <n v="41"/>
    <s v="Idaho"/>
    <x v="2"/>
    <x v="6"/>
    <x v="2"/>
    <x v="17"/>
    <x v="1"/>
    <x v="1"/>
    <x v="0"/>
    <x v="0"/>
    <n v="6"/>
    <x v="4"/>
    <x v="3"/>
  </r>
  <r>
    <n v="1155"/>
    <x v="34"/>
    <x v="0"/>
    <x v="10"/>
    <x v="0"/>
    <n v="82"/>
    <s v="Georgia"/>
    <x v="0"/>
    <x v="17"/>
    <x v="1"/>
    <x v="3"/>
    <x v="1"/>
    <x v="4"/>
    <x v="0"/>
    <x v="0"/>
    <n v="44"/>
    <x v="2"/>
    <x v="4"/>
  </r>
  <r>
    <n v="1156"/>
    <x v="29"/>
    <x v="0"/>
    <x v="17"/>
    <x v="0"/>
    <n v="53"/>
    <s v="Tennessee"/>
    <x v="1"/>
    <x v="16"/>
    <x v="3"/>
    <x v="5"/>
    <x v="1"/>
    <x v="0"/>
    <x v="0"/>
    <x v="0"/>
    <n v="47"/>
    <x v="3"/>
    <x v="3"/>
  </r>
  <r>
    <n v="1157"/>
    <x v="30"/>
    <x v="0"/>
    <x v="9"/>
    <x v="1"/>
    <n v="21"/>
    <s v="Hawaii"/>
    <x v="2"/>
    <x v="9"/>
    <x v="2"/>
    <x v="6"/>
    <x v="1"/>
    <x v="0"/>
    <x v="0"/>
    <x v="0"/>
    <n v="6"/>
    <x v="0"/>
    <x v="6"/>
  </r>
  <r>
    <n v="1158"/>
    <x v="43"/>
    <x v="0"/>
    <x v="22"/>
    <x v="3"/>
    <n v="66"/>
    <s v="Maryland"/>
    <x v="2"/>
    <x v="4"/>
    <x v="3"/>
    <x v="14"/>
    <x v="1"/>
    <x v="3"/>
    <x v="0"/>
    <x v="0"/>
    <n v="11"/>
    <x v="1"/>
    <x v="3"/>
  </r>
  <r>
    <n v="1159"/>
    <x v="28"/>
    <x v="0"/>
    <x v="22"/>
    <x v="3"/>
    <n v="89"/>
    <s v="Nevada"/>
    <x v="0"/>
    <x v="20"/>
    <x v="2"/>
    <x v="17"/>
    <x v="1"/>
    <x v="4"/>
    <x v="0"/>
    <x v="0"/>
    <n v="41"/>
    <x v="4"/>
    <x v="2"/>
  </r>
  <r>
    <n v="1160"/>
    <x v="17"/>
    <x v="0"/>
    <x v="8"/>
    <x v="3"/>
    <n v="55"/>
    <s v="New Hampshire"/>
    <x v="0"/>
    <x v="24"/>
    <x v="3"/>
    <x v="15"/>
    <x v="1"/>
    <x v="4"/>
    <x v="0"/>
    <x v="0"/>
    <n v="46"/>
    <x v="0"/>
    <x v="6"/>
  </r>
  <r>
    <n v="1161"/>
    <x v="43"/>
    <x v="0"/>
    <x v="18"/>
    <x v="3"/>
    <n v="42"/>
    <s v="North Dakota"/>
    <x v="1"/>
    <x v="24"/>
    <x v="2"/>
    <x v="4"/>
    <x v="1"/>
    <x v="2"/>
    <x v="0"/>
    <x v="0"/>
    <n v="9"/>
    <x v="0"/>
    <x v="4"/>
  </r>
  <r>
    <n v="1162"/>
    <x v="6"/>
    <x v="0"/>
    <x v="6"/>
    <x v="0"/>
    <n v="52"/>
    <s v="Oklahoma"/>
    <x v="1"/>
    <x v="20"/>
    <x v="3"/>
    <x v="0"/>
    <x v="1"/>
    <x v="4"/>
    <x v="0"/>
    <x v="0"/>
    <n v="37"/>
    <x v="3"/>
    <x v="5"/>
  </r>
  <r>
    <n v="1163"/>
    <x v="36"/>
    <x v="0"/>
    <x v="3"/>
    <x v="1"/>
    <n v="92"/>
    <s v="North Carolina"/>
    <x v="2"/>
    <x v="24"/>
    <x v="0"/>
    <x v="19"/>
    <x v="1"/>
    <x v="0"/>
    <x v="0"/>
    <x v="0"/>
    <n v="13"/>
    <x v="3"/>
    <x v="1"/>
  </r>
  <r>
    <n v="1164"/>
    <x v="8"/>
    <x v="0"/>
    <x v="13"/>
    <x v="0"/>
    <n v="56"/>
    <s v="Tennessee"/>
    <x v="0"/>
    <x v="3"/>
    <x v="2"/>
    <x v="21"/>
    <x v="1"/>
    <x v="4"/>
    <x v="0"/>
    <x v="0"/>
    <n v="24"/>
    <x v="5"/>
    <x v="5"/>
  </r>
  <r>
    <n v="1165"/>
    <x v="33"/>
    <x v="0"/>
    <x v="10"/>
    <x v="0"/>
    <n v="96"/>
    <s v="Montana"/>
    <x v="2"/>
    <x v="14"/>
    <x v="0"/>
    <x v="19"/>
    <x v="1"/>
    <x v="3"/>
    <x v="0"/>
    <x v="0"/>
    <n v="47"/>
    <x v="3"/>
    <x v="3"/>
  </r>
  <r>
    <n v="1166"/>
    <x v="47"/>
    <x v="0"/>
    <x v="17"/>
    <x v="0"/>
    <n v="64"/>
    <s v="Wisconsin"/>
    <x v="2"/>
    <x v="5"/>
    <x v="0"/>
    <x v="3"/>
    <x v="1"/>
    <x v="2"/>
    <x v="0"/>
    <x v="0"/>
    <n v="21"/>
    <x v="0"/>
    <x v="6"/>
  </r>
  <r>
    <n v="1167"/>
    <x v="39"/>
    <x v="0"/>
    <x v="10"/>
    <x v="0"/>
    <n v="48"/>
    <s v="Connecticut"/>
    <x v="1"/>
    <x v="12"/>
    <x v="0"/>
    <x v="18"/>
    <x v="1"/>
    <x v="5"/>
    <x v="0"/>
    <x v="0"/>
    <n v="22"/>
    <x v="0"/>
    <x v="0"/>
  </r>
  <r>
    <n v="1168"/>
    <x v="52"/>
    <x v="0"/>
    <x v="20"/>
    <x v="0"/>
    <n v="83"/>
    <s v="New Jersey"/>
    <x v="3"/>
    <x v="19"/>
    <x v="2"/>
    <x v="15"/>
    <x v="1"/>
    <x v="1"/>
    <x v="0"/>
    <x v="0"/>
    <n v="16"/>
    <x v="3"/>
    <x v="3"/>
  </r>
  <r>
    <n v="1169"/>
    <x v="33"/>
    <x v="0"/>
    <x v="18"/>
    <x v="3"/>
    <n v="91"/>
    <s v="Mississippi"/>
    <x v="0"/>
    <x v="10"/>
    <x v="2"/>
    <x v="15"/>
    <x v="1"/>
    <x v="3"/>
    <x v="0"/>
    <x v="0"/>
    <n v="37"/>
    <x v="5"/>
    <x v="0"/>
  </r>
  <r>
    <n v="1170"/>
    <x v="15"/>
    <x v="0"/>
    <x v="21"/>
    <x v="3"/>
    <n v="94"/>
    <s v="Wyoming"/>
    <x v="1"/>
    <x v="0"/>
    <x v="3"/>
    <x v="9"/>
    <x v="1"/>
    <x v="4"/>
    <x v="0"/>
    <x v="0"/>
    <n v="3"/>
    <x v="1"/>
    <x v="2"/>
  </r>
  <r>
    <n v="1171"/>
    <x v="9"/>
    <x v="0"/>
    <x v="11"/>
    <x v="0"/>
    <n v="62"/>
    <s v="Illinois"/>
    <x v="1"/>
    <x v="16"/>
    <x v="1"/>
    <x v="4"/>
    <x v="1"/>
    <x v="0"/>
    <x v="0"/>
    <x v="0"/>
    <n v="33"/>
    <x v="1"/>
    <x v="4"/>
  </r>
  <r>
    <n v="1172"/>
    <x v="38"/>
    <x v="0"/>
    <x v="20"/>
    <x v="0"/>
    <n v="55"/>
    <s v="Louisiana"/>
    <x v="2"/>
    <x v="12"/>
    <x v="1"/>
    <x v="20"/>
    <x v="1"/>
    <x v="2"/>
    <x v="0"/>
    <x v="0"/>
    <n v="15"/>
    <x v="5"/>
    <x v="2"/>
  </r>
  <r>
    <n v="1173"/>
    <x v="35"/>
    <x v="0"/>
    <x v="7"/>
    <x v="2"/>
    <n v="68"/>
    <s v="Oregon"/>
    <x v="0"/>
    <x v="15"/>
    <x v="1"/>
    <x v="12"/>
    <x v="1"/>
    <x v="5"/>
    <x v="0"/>
    <x v="0"/>
    <n v="42"/>
    <x v="4"/>
    <x v="4"/>
  </r>
  <r>
    <n v="1174"/>
    <x v="42"/>
    <x v="0"/>
    <x v="16"/>
    <x v="3"/>
    <n v="76"/>
    <s v="South Dakota"/>
    <x v="2"/>
    <x v="21"/>
    <x v="0"/>
    <x v="25"/>
    <x v="1"/>
    <x v="0"/>
    <x v="0"/>
    <x v="0"/>
    <n v="42"/>
    <x v="1"/>
    <x v="4"/>
  </r>
  <r>
    <n v="1175"/>
    <x v="32"/>
    <x v="0"/>
    <x v="21"/>
    <x v="3"/>
    <n v="31"/>
    <s v="Michigan"/>
    <x v="2"/>
    <x v="13"/>
    <x v="0"/>
    <x v="24"/>
    <x v="1"/>
    <x v="0"/>
    <x v="0"/>
    <x v="0"/>
    <n v="19"/>
    <x v="4"/>
    <x v="4"/>
  </r>
  <r>
    <n v="1176"/>
    <x v="25"/>
    <x v="0"/>
    <x v="22"/>
    <x v="3"/>
    <n v="81"/>
    <s v="New Jersey"/>
    <x v="2"/>
    <x v="19"/>
    <x v="1"/>
    <x v="7"/>
    <x v="1"/>
    <x v="5"/>
    <x v="0"/>
    <x v="0"/>
    <n v="26"/>
    <x v="3"/>
    <x v="3"/>
  </r>
  <r>
    <n v="1177"/>
    <x v="24"/>
    <x v="0"/>
    <x v="10"/>
    <x v="0"/>
    <n v="83"/>
    <s v="Oregon"/>
    <x v="2"/>
    <x v="16"/>
    <x v="0"/>
    <x v="12"/>
    <x v="1"/>
    <x v="1"/>
    <x v="0"/>
    <x v="0"/>
    <n v="39"/>
    <x v="3"/>
    <x v="3"/>
  </r>
  <r>
    <n v="1178"/>
    <x v="22"/>
    <x v="0"/>
    <x v="11"/>
    <x v="0"/>
    <n v="21"/>
    <s v="Iowa"/>
    <x v="2"/>
    <x v="13"/>
    <x v="1"/>
    <x v="6"/>
    <x v="1"/>
    <x v="3"/>
    <x v="0"/>
    <x v="0"/>
    <n v="24"/>
    <x v="5"/>
    <x v="5"/>
  </r>
  <r>
    <n v="1179"/>
    <x v="43"/>
    <x v="0"/>
    <x v="10"/>
    <x v="0"/>
    <n v="22"/>
    <s v="South Carolina"/>
    <x v="2"/>
    <x v="11"/>
    <x v="1"/>
    <x v="8"/>
    <x v="1"/>
    <x v="0"/>
    <x v="0"/>
    <x v="0"/>
    <n v="23"/>
    <x v="5"/>
    <x v="2"/>
  </r>
  <r>
    <n v="1180"/>
    <x v="30"/>
    <x v="0"/>
    <x v="17"/>
    <x v="0"/>
    <n v="33"/>
    <s v="Indiana"/>
    <x v="2"/>
    <x v="24"/>
    <x v="2"/>
    <x v="11"/>
    <x v="1"/>
    <x v="1"/>
    <x v="0"/>
    <x v="0"/>
    <n v="44"/>
    <x v="4"/>
    <x v="2"/>
  </r>
  <r>
    <n v="1181"/>
    <x v="51"/>
    <x v="0"/>
    <x v="11"/>
    <x v="0"/>
    <n v="23"/>
    <s v="Oregon"/>
    <x v="1"/>
    <x v="19"/>
    <x v="1"/>
    <x v="8"/>
    <x v="1"/>
    <x v="3"/>
    <x v="0"/>
    <x v="0"/>
    <n v="34"/>
    <x v="1"/>
    <x v="5"/>
  </r>
  <r>
    <n v="1182"/>
    <x v="12"/>
    <x v="0"/>
    <x v="6"/>
    <x v="0"/>
    <n v="96"/>
    <s v="New York"/>
    <x v="0"/>
    <x v="11"/>
    <x v="2"/>
    <x v="1"/>
    <x v="1"/>
    <x v="1"/>
    <x v="0"/>
    <x v="0"/>
    <n v="43"/>
    <x v="4"/>
    <x v="3"/>
  </r>
  <r>
    <n v="1183"/>
    <x v="43"/>
    <x v="0"/>
    <x v="16"/>
    <x v="3"/>
    <n v="21"/>
    <s v="New Mexico"/>
    <x v="2"/>
    <x v="1"/>
    <x v="1"/>
    <x v="22"/>
    <x v="1"/>
    <x v="0"/>
    <x v="0"/>
    <x v="0"/>
    <n v="45"/>
    <x v="3"/>
    <x v="3"/>
  </r>
  <r>
    <n v="1184"/>
    <x v="51"/>
    <x v="0"/>
    <x v="13"/>
    <x v="0"/>
    <n v="39"/>
    <s v="Louisiana"/>
    <x v="2"/>
    <x v="22"/>
    <x v="1"/>
    <x v="9"/>
    <x v="1"/>
    <x v="4"/>
    <x v="0"/>
    <x v="0"/>
    <n v="4"/>
    <x v="2"/>
    <x v="1"/>
  </r>
  <r>
    <n v="1185"/>
    <x v="6"/>
    <x v="0"/>
    <x v="22"/>
    <x v="3"/>
    <n v="73"/>
    <s v="South Carolina"/>
    <x v="1"/>
    <x v="21"/>
    <x v="3"/>
    <x v="23"/>
    <x v="1"/>
    <x v="0"/>
    <x v="0"/>
    <x v="0"/>
    <n v="19"/>
    <x v="2"/>
    <x v="2"/>
  </r>
  <r>
    <n v="1186"/>
    <x v="36"/>
    <x v="0"/>
    <x v="2"/>
    <x v="0"/>
    <n v="64"/>
    <s v="Maine"/>
    <x v="2"/>
    <x v="23"/>
    <x v="1"/>
    <x v="20"/>
    <x v="1"/>
    <x v="3"/>
    <x v="0"/>
    <x v="0"/>
    <n v="29"/>
    <x v="2"/>
    <x v="5"/>
  </r>
  <r>
    <n v="1187"/>
    <x v="6"/>
    <x v="0"/>
    <x v="2"/>
    <x v="0"/>
    <n v="68"/>
    <s v="Indiana"/>
    <x v="2"/>
    <x v="19"/>
    <x v="2"/>
    <x v="7"/>
    <x v="1"/>
    <x v="4"/>
    <x v="0"/>
    <x v="0"/>
    <n v="27"/>
    <x v="2"/>
    <x v="2"/>
  </r>
  <r>
    <n v="1188"/>
    <x v="19"/>
    <x v="0"/>
    <x v="19"/>
    <x v="3"/>
    <n v="89"/>
    <s v="Iowa"/>
    <x v="0"/>
    <x v="1"/>
    <x v="3"/>
    <x v="21"/>
    <x v="1"/>
    <x v="0"/>
    <x v="0"/>
    <x v="0"/>
    <n v="37"/>
    <x v="2"/>
    <x v="6"/>
  </r>
  <r>
    <n v="1189"/>
    <x v="33"/>
    <x v="0"/>
    <x v="0"/>
    <x v="0"/>
    <n v="29"/>
    <s v="Mississippi"/>
    <x v="2"/>
    <x v="23"/>
    <x v="2"/>
    <x v="13"/>
    <x v="1"/>
    <x v="2"/>
    <x v="0"/>
    <x v="0"/>
    <n v="11"/>
    <x v="2"/>
    <x v="1"/>
  </r>
  <r>
    <n v="1190"/>
    <x v="14"/>
    <x v="0"/>
    <x v="5"/>
    <x v="0"/>
    <n v="97"/>
    <s v="Arkansas"/>
    <x v="3"/>
    <x v="11"/>
    <x v="2"/>
    <x v="8"/>
    <x v="1"/>
    <x v="1"/>
    <x v="0"/>
    <x v="0"/>
    <n v="28"/>
    <x v="5"/>
    <x v="2"/>
  </r>
  <r>
    <n v="1191"/>
    <x v="46"/>
    <x v="0"/>
    <x v="5"/>
    <x v="0"/>
    <n v="45"/>
    <s v="South Carolina"/>
    <x v="2"/>
    <x v="20"/>
    <x v="0"/>
    <x v="24"/>
    <x v="1"/>
    <x v="2"/>
    <x v="0"/>
    <x v="0"/>
    <n v="31"/>
    <x v="2"/>
    <x v="1"/>
  </r>
  <r>
    <n v="1192"/>
    <x v="50"/>
    <x v="0"/>
    <x v="17"/>
    <x v="0"/>
    <n v="70"/>
    <s v="Indiana"/>
    <x v="0"/>
    <x v="4"/>
    <x v="0"/>
    <x v="7"/>
    <x v="1"/>
    <x v="1"/>
    <x v="0"/>
    <x v="0"/>
    <n v="50"/>
    <x v="0"/>
    <x v="3"/>
  </r>
  <r>
    <n v="1193"/>
    <x v="34"/>
    <x v="0"/>
    <x v="7"/>
    <x v="2"/>
    <n v="56"/>
    <s v="Florida"/>
    <x v="2"/>
    <x v="2"/>
    <x v="2"/>
    <x v="17"/>
    <x v="1"/>
    <x v="4"/>
    <x v="0"/>
    <x v="0"/>
    <n v="42"/>
    <x v="0"/>
    <x v="3"/>
  </r>
  <r>
    <n v="1194"/>
    <x v="37"/>
    <x v="0"/>
    <x v="14"/>
    <x v="2"/>
    <n v="55"/>
    <s v="Alaska"/>
    <x v="0"/>
    <x v="6"/>
    <x v="3"/>
    <x v="16"/>
    <x v="1"/>
    <x v="4"/>
    <x v="0"/>
    <x v="0"/>
    <n v="18"/>
    <x v="2"/>
    <x v="0"/>
  </r>
  <r>
    <n v="1195"/>
    <x v="2"/>
    <x v="0"/>
    <x v="15"/>
    <x v="0"/>
    <n v="46"/>
    <s v="New York"/>
    <x v="1"/>
    <x v="11"/>
    <x v="0"/>
    <x v="0"/>
    <x v="1"/>
    <x v="4"/>
    <x v="0"/>
    <x v="0"/>
    <n v="6"/>
    <x v="2"/>
    <x v="0"/>
  </r>
  <r>
    <n v="1196"/>
    <x v="15"/>
    <x v="0"/>
    <x v="18"/>
    <x v="3"/>
    <n v="95"/>
    <s v="Texas"/>
    <x v="2"/>
    <x v="3"/>
    <x v="0"/>
    <x v="17"/>
    <x v="1"/>
    <x v="4"/>
    <x v="0"/>
    <x v="0"/>
    <n v="33"/>
    <x v="0"/>
    <x v="5"/>
  </r>
  <r>
    <n v="1197"/>
    <x v="11"/>
    <x v="0"/>
    <x v="22"/>
    <x v="3"/>
    <n v="88"/>
    <s v="North Dakota"/>
    <x v="2"/>
    <x v="1"/>
    <x v="0"/>
    <x v="4"/>
    <x v="1"/>
    <x v="4"/>
    <x v="0"/>
    <x v="0"/>
    <n v="13"/>
    <x v="4"/>
    <x v="4"/>
  </r>
  <r>
    <n v="1198"/>
    <x v="22"/>
    <x v="0"/>
    <x v="4"/>
    <x v="1"/>
    <n v="92"/>
    <s v="Vermont"/>
    <x v="0"/>
    <x v="10"/>
    <x v="3"/>
    <x v="20"/>
    <x v="1"/>
    <x v="3"/>
    <x v="0"/>
    <x v="0"/>
    <n v="26"/>
    <x v="3"/>
    <x v="2"/>
  </r>
  <r>
    <n v="1199"/>
    <x v="37"/>
    <x v="0"/>
    <x v="20"/>
    <x v="0"/>
    <n v="49"/>
    <s v="New Jersey"/>
    <x v="2"/>
    <x v="18"/>
    <x v="2"/>
    <x v="20"/>
    <x v="1"/>
    <x v="4"/>
    <x v="0"/>
    <x v="0"/>
    <n v="17"/>
    <x v="1"/>
    <x v="2"/>
  </r>
  <r>
    <n v="1200"/>
    <x v="34"/>
    <x v="0"/>
    <x v="3"/>
    <x v="1"/>
    <n v="89"/>
    <s v="Maryland"/>
    <x v="2"/>
    <x v="21"/>
    <x v="3"/>
    <x v="9"/>
    <x v="1"/>
    <x v="1"/>
    <x v="0"/>
    <x v="0"/>
    <n v="3"/>
    <x v="5"/>
    <x v="1"/>
  </r>
  <r>
    <n v="1201"/>
    <x v="7"/>
    <x v="0"/>
    <x v="7"/>
    <x v="2"/>
    <n v="22"/>
    <s v="Connecticut"/>
    <x v="3"/>
    <x v="13"/>
    <x v="0"/>
    <x v="14"/>
    <x v="1"/>
    <x v="5"/>
    <x v="0"/>
    <x v="0"/>
    <n v="7"/>
    <x v="3"/>
    <x v="1"/>
  </r>
  <r>
    <n v="1202"/>
    <x v="7"/>
    <x v="0"/>
    <x v="9"/>
    <x v="1"/>
    <n v="61"/>
    <s v="Illinois"/>
    <x v="3"/>
    <x v="13"/>
    <x v="2"/>
    <x v="0"/>
    <x v="1"/>
    <x v="4"/>
    <x v="0"/>
    <x v="0"/>
    <n v="46"/>
    <x v="0"/>
    <x v="0"/>
  </r>
  <r>
    <n v="1203"/>
    <x v="39"/>
    <x v="0"/>
    <x v="18"/>
    <x v="3"/>
    <n v="29"/>
    <s v="Maryland"/>
    <x v="1"/>
    <x v="8"/>
    <x v="1"/>
    <x v="3"/>
    <x v="1"/>
    <x v="3"/>
    <x v="0"/>
    <x v="0"/>
    <n v="14"/>
    <x v="0"/>
    <x v="6"/>
  </r>
  <r>
    <n v="1204"/>
    <x v="37"/>
    <x v="0"/>
    <x v="4"/>
    <x v="1"/>
    <n v="82"/>
    <s v="Minnesota"/>
    <x v="2"/>
    <x v="20"/>
    <x v="0"/>
    <x v="18"/>
    <x v="1"/>
    <x v="1"/>
    <x v="0"/>
    <x v="0"/>
    <n v="23"/>
    <x v="4"/>
    <x v="2"/>
  </r>
  <r>
    <n v="1205"/>
    <x v="29"/>
    <x v="0"/>
    <x v="22"/>
    <x v="3"/>
    <n v="94"/>
    <s v="Florida"/>
    <x v="2"/>
    <x v="6"/>
    <x v="1"/>
    <x v="4"/>
    <x v="1"/>
    <x v="4"/>
    <x v="0"/>
    <x v="0"/>
    <n v="20"/>
    <x v="2"/>
    <x v="6"/>
  </r>
  <r>
    <n v="1206"/>
    <x v="16"/>
    <x v="0"/>
    <x v="8"/>
    <x v="3"/>
    <n v="99"/>
    <s v="California"/>
    <x v="2"/>
    <x v="8"/>
    <x v="1"/>
    <x v="1"/>
    <x v="1"/>
    <x v="3"/>
    <x v="0"/>
    <x v="0"/>
    <n v="38"/>
    <x v="4"/>
    <x v="0"/>
  </r>
  <r>
    <n v="1207"/>
    <x v="40"/>
    <x v="0"/>
    <x v="8"/>
    <x v="3"/>
    <n v="59"/>
    <s v="Mississippi"/>
    <x v="1"/>
    <x v="17"/>
    <x v="3"/>
    <x v="21"/>
    <x v="1"/>
    <x v="1"/>
    <x v="0"/>
    <x v="0"/>
    <n v="16"/>
    <x v="0"/>
    <x v="6"/>
  </r>
  <r>
    <n v="1208"/>
    <x v="46"/>
    <x v="0"/>
    <x v="23"/>
    <x v="1"/>
    <n v="90"/>
    <s v="Washington"/>
    <x v="2"/>
    <x v="3"/>
    <x v="2"/>
    <x v="7"/>
    <x v="1"/>
    <x v="2"/>
    <x v="0"/>
    <x v="0"/>
    <n v="48"/>
    <x v="2"/>
    <x v="6"/>
  </r>
  <r>
    <n v="1209"/>
    <x v="30"/>
    <x v="0"/>
    <x v="23"/>
    <x v="1"/>
    <n v="100"/>
    <s v="Wisconsin"/>
    <x v="1"/>
    <x v="16"/>
    <x v="0"/>
    <x v="3"/>
    <x v="1"/>
    <x v="4"/>
    <x v="0"/>
    <x v="0"/>
    <n v="8"/>
    <x v="5"/>
    <x v="2"/>
  </r>
  <r>
    <n v="1210"/>
    <x v="38"/>
    <x v="0"/>
    <x v="13"/>
    <x v="0"/>
    <n v="62"/>
    <s v="Pennsylvania"/>
    <x v="2"/>
    <x v="24"/>
    <x v="0"/>
    <x v="22"/>
    <x v="1"/>
    <x v="2"/>
    <x v="0"/>
    <x v="0"/>
    <n v="16"/>
    <x v="4"/>
    <x v="5"/>
  </r>
  <r>
    <n v="1211"/>
    <x v="50"/>
    <x v="0"/>
    <x v="12"/>
    <x v="3"/>
    <n v="78"/>
    <s v="Missouri"/>
    <x v="2"/>
    <x v="8"/>
    <x v="3"/>
    <x v="7"/>
    <x v="1"/>
    <x v="2"/>
    <x v="0"/>
    <x v="0"/>
    <n v="5"/>
    <x v="1"/>
    <x v="3"/>
  </r>
  <r>
    <n v="1212"/>
    <x v="51"/>
    <x v="0"/>
    <x v="15"/>
    <x v="0"/>
    <n v="94"/>
    <s v="Oklahoma"/>
    <x v="2"/>
    <x v="14"/>
    <x v="1"/>
    <x v="12"/>
    <x v="1"/>
    <x v="5"/>
    <x v="0"/>
    <x v="0"/>
    <n v="14"/>
    <x v="0"/>
    <x v="6"/>
  </r>
  <r>
    <n v="1213"/>
    <x v="45"/>
    <x v="0"/>
    <x v="9"/>
    <x v="1"/>
    <n v="74"/>
    <s v="Pennsylvania"/>
    <x v="2"/>
    <x v="22"/>
    <x v="2"/>
    <x v="25"/>
    <x v="1"/>
    <x v="1"/>
    <x v="0"/>
    <x v="0"/>
    <n v="18"/>
    <x v="2"/>
    <x v="1"/>
  </r>
  <r>
    <n v="1214"/>
    <x v="33"/>
    <x v="0"/>
    <x v="8"/>
    <x v="3"/>
    <n v="52"/>
    <s v="Kentucky"/>
    <x v="3"/>
    <x v="13"/>
    <x v="1"/>
    <x v="18"/>
    <x v="1"/>
    <x v="0"/>
    <x v="0"/>
    <x v="0"/>
    <n v="14"/>
    <x v="5"/>
    <x v="6"/>
  </r>
  <r>
    <n v="1215"/>
    <x v="11"/>
    <x v="0"/>
    <x v="14"/>
    <x v="2"/>
    <n v="81"/>
    <s v="Vermont"/>
    <x v="2"/>
    <x v="24"/>
    <x v="3"/>
    <x v="22"/>
    <x v="1"/>
    <x v="1"/>
    <x v="0"/>
    <x v="0"/>
    <n v="5"/>
    <x v="1"/>
    <x v="6"/>
  </r>
  <r>
    <n v="1216"/>
    <x v="17"/>
    <x v="0"/>
    <x v="0"/>
    <x v="0"/>
    <n v="20"/>
    <s v="Oregon"/>
    <x v="0"/>
    <x v="6"/>
    <x v="0"/>
    <x v="5"/>
    <x v="1"/>
    <x v="4"/>
    <x v="0"/>
    <x v="0"/>
    <n v="15"/>
    <x v="2"/>
    <x v="6"/>
  </r>
  <r>
    <n v="1217"/>
    <x v="46"/>
    <x v="0"/>
    <x v="13"/>
    <x v="0"/>
    <n v="32"/>
    <s v="Utah"/>
    <x v="3"/>
    <x v="12"/>
    <x v="2"/>
    <x v="18"/>
    <x v="1"/>
    <x v="1"/>
    <x v="0"/>
    <x v="0"/>
    <n v="3"/>
    <x v="0"/>
    <x v="6"/>
  </r>
  <r>
    <n v="1218"/>
    <x v="2"/>
    <x v="0"/>
    <x v="23"/>
    <x v="1"/>
    <n v="63"/>
    <s v="Nebraska"/>
    <x v="3"/>
    <x v="17"/>
    <x v="3"/>
    <x v="5"/>
    <x v="1"/>
    <x v="1"/>
    <x v="0"/>
    <x v="0"/>
    <n v="12"/>
    <x v="1"/>
    <x v="6"/>
  </r>
  <r>
    <n v="1219"/>
    <x v="0"/>
    <x v="0"/>
    <x v="23"/>
    <x v="1"/>
    <n v="79"/>
    <s v="Pennsylvania"/>
    <x v="2"/>
    <x v="17"/>
    <x v="1"/>
    <x v="0"/>
    <x v="1"/>
    <x v="5"/>
    <x v="0"/>
    <x v="0"/>
    <n v="43"/>
    <x v="1"/>
    <x v="6"/>
  </r>
  <r>
    <n v="1220"/>
    <x v="1"/>
    <x v="0"/>
    <x v="1"/>
    <x v="0"/>
    <n v="23"/>
    <s v="Vermont"/>
    <x v="2"/>
    <x v="9"/>
    <x v="0"/>
    <x v="25"/>
    <x v="1"/>
    <x v="2"/>
    <x v="0"/>
    <x v="0"/>
    <n v="35"/>
    <x v="2"/>
    <x v="4"/>
  </r>
  <r>
    <n v="1221"/>
    <x v="29"/>
    <x v="0"/>
    <x v="24"/>
    <x v="3"/>
    <n v="64"/>
    <s v="Kentucky"/>
    <x v="2"/>
    <x v="14"/>
    <x v="0"/>
    <x v="8"/>
    <x v="1"/>
    <x v="0"/>
    <x v="0"/>
    <x v="0"/>
    <n v="36"/>
    <x v="4"/>
    <x v="3"/>
  </r>
  <r>
    <n v="1222"/>
    <x v="20"/>
    <x v="0"/>
    <x v="20"/>
    <x v="0"/>
    <n v="69"/>
    <s v="Iowa"/>
    <x v="2"/>
    <x v="16"/>
    <x v="0"/>
    <x v="9"/>
    <x v="1"/>
    <x v="3"/>
    <x v="0"/>
    <x v="0"/>
    <n v="3"/>
    <x v="1"/>
    <x v="3"/>
  </r>
  <r>
    <n v="1223"/>
    <x v="44"/>
    <x v="0"/>
    <x v="2"/>
    <x v="0"/>
    <n v="69"/>
    <s v="Indiana"/>
    <x v="0"/>
    <x v="23"/>
    <x v="3"/>
    <x v="23"/>
    <x v="1"/>
    <x v="5"/>
    <x v="0"/>
    <x v="0"/>
    <n v="27"/>
    <x v="4"/>
    <x v="2"/>
  </r>
  <r>
    <n v="1224"/>
    <x v="28"/>
    <x v="0"/>
    <x v="13"/>
    <x v="0"/>
    <n v="24"/>
    <s v="Kansas"/>
    <x v="0"/>
    <x v="16"/>
    <x v="0"/>
    <x v="20"/>
    <x v="1"/>
    <x v="1"/>
    <x v="0"/>
    <x v="0"/>
    <n v="21"/>
    <x v="4"/>
    <x v="1"/>
  </r>
  <r>
    <n v="1225"/>
    <x v="46"/>
    <x v="0"/>
    <x v="6"/>
    <x v="0"/>
    <n v="50"/>
    <s v="Illinois"/>
    <x v="2"/>
    <x v="22"/>
    <x v="2"/>
    <x v="18"/>
    <x v="1"/>
    <x v="5"/>
    <x v="0"/>
    <x v="0"/>
    <n v="18"/>
    <x v="0"/>
    <x v="1"/>
  </r>
  <r>
    <n v="1226"/>
    <x v="48"/>
    <x v="0"/>
    <x v="24"/>
    <x v="3"/>
    <n v="97"/>
    <s v="North Carolina"/>
    <x v="1"/>
    <x v="2"/>
    <x v="3"/>
    <x v="5"/>
    <x v="1"/>
    <x v="1"/>
    <x v="0"/>
    <x v="0"/>
    <n v="16"/>
    <x v="5"/>
    <x v="1"/>
  </r>
  <r>
    <n v="1227"/>
    <x v="10"/>
    <x v="0"/>
    <x v="3"/>
    <x v="1"/>
    <n v="91"/>
    <s v="Ohio"/>
    <x v="1"/>
    <x v="17"/>
    <x v="3"/>
    <x v="23"/>
    <x v="1"/>
    <x v="5"/>
    <x v="0"/>
    <x v="0"/>
    <n v="18"/>
    <x v="0"/>
    <x v="4"/>
  </r>
  <r>
    <n v="1228"/>
    <x v="7"/>
    <x v="0"/>
    <x v="0"/>
    <x v="0"/>
    <n v="37"/>
    <s v="Illinois"/>
    <x v="0"/>
    <x v="22"/>
    <x v="1"/>
    <x v="8"/>
    <x v="1"/>
    <x v="5"/>
    <x v="0"/>
    <x v="0"/>
    <n v="19"/>
    <x v="4"/>
    <x v="4"/>
  </r>
  <r>
    <n v="1229"/>
    <x v="0"/>
    <x v="0"/>
    <x v="14"/>
    <x v="2"/>
    <n v="55"/>
    <s v="Indiana"/>
    <x v="1"/>
    <x v="22"/>
    <x v="0"/>
    <x v="20"/>
    <x v="1"/>
    <x v="0"/>
    <x v="0"/>
    <x v="0"/>
    <n v="1"/>
    <x v="1"/>
    <x v="2"/>
  </r>
  <r>
    <n v="1230"/>
    <x v="50"/>
    <x v="0"/>
    <x v="16"/>
    <x v="3"/>
    <n v="52"/>
    <s v="Kansas"/>
    <x v="3"/>
    <x v="1"/>
    <x v="0"/>
    <x v="15"/>
    <x v="1"/>
    <x v="0"/>
    <x v="0"/>
    <x v="0"/>
    <n v="39"/>
    <x v="4"/>
    <x v="2"/>
  </r>
  <r>
    <n v="1231"/>
    <x v="15"/>
    <x v="0"/>
    <x v="19"/>
    <x v="3"/>
    <n v="80"/>
    <s v="Illinois"/>
    <x v="0"/>
    <x v="18"/>
    <x v="1"/>
    <x v="12"/>
    <x v="1"/>
    <x v="3"/>
    <x v="0"/>
    <x v="0"/>
    <n v="49"/>
    <x v="0"/>
    <x v="5"/>
  </r>
  <r>
    <n v="1232"/>
    <x v="17"/>
    <x v="0"/>
    <x v="20"/>
    <x v="0"/>
    <n v="79"/>
    <s v="Pennsylvania"/>
    <x v="2"/>
    <x v="9"/>
    <x v="1"/>
    <x v="17"/>
    <x v="1"/>
    <x v="4"/>
    <x v="0"/>
    <x v="0"/>
    <n v="43"/>
    <x v="2"/>
    <x v="0"/>
  </r>
  <r>
    <n v="1233"/>
    <x v="9"/>
    <x v="0"/>
    <x v="8"/>
    <x v="3"/>
    <n v="23"/>
    <s v="New York"/>
    <x v="2"/>
    <x v="4"/>
    <x v="2"/>
    <x v="15"/>
    <x v="1"/>
    <x v="1"/>
    <x v="0"/>
    <x v="0"/>
    <n v="31"/>
    <x v="5"/>
    <x v="6"/>
  </r>
  <r>
    <n v="1234"/>
    <x v="5"/>
    <x v="0"/>
    <x v="13"/>
    <x v="0"/>
    <n v="73"/>
    <s v="Utah"/>
    <x v="0"/>
    <x v="19"/>
    <x v="0"/>
    <x v="1"/>
    <x v="1"/>
    <x v="2"/>
    <x v="0"/>
    <x v="0"/>
    <n v="40"/>
    <x v="0"/>
    <x v="6"/>
  </r>
  <r>
    <n v="1235"/>
    <x v="21"/>
    <x v="0"/>
    <x v="24"/>
    <x v="3"/>
    <n v="99"/>
    <s v="New Jersey"/>
    <x v="2"/>
    <x v="21"/>
    <x v="3"/>
    <x v="7"/>
    <x v="1"/>
    <x v="5"/>
    <x v="0"/>
    <x v="0"/>
    <n v="2"/>
    <x v="4"/>
    <x v="4"/>
  </r>
  <r>
    <n v="1236"/>
    <x v="51"/>
    <x v="0"/>
    <x v="1"/>
    <x v="0"/>
    <n v="22"/>
    <s v="Idaho"/>
    <x v="2"/>
    <x v="16"/>
    <x v="1"/>
    <x v="21"/>
    <x v="1"/>
    <x v="5"/>
    <x v="0"/>
    <x v="0"/>
    <n v="46"/>
    <x v="3"/>
    <x v="6"/>
  </r>
  <r>
    <n v="1237"/>
    <x v="32"/>
    <x v="0"/>
    <x v="19"/>
    <x v="3"/>
    <n v="68"/>
    <s v="New Mexico"/>
    <x v="2"/>
    <x v="3"/>
    <x v="2"/>
    <x v="14"/>
    <x v="1"/>
    <x v="5"/>
    <x v="0"/>
    <x v="0"/>
    <n v="35"/>
    <x v="5"/>
    <x v="6"/>
  </r>
  <r>
    <n v="1238"/>
    <x v="15"/>
    <x v="0"/>
    <x v="10"/>
    <x v="0"/>
    <n v="92"/>
    <s v="Michigan"/>
    <x v="1"/>
    <x v="4"/>
    <x v="1"/>
    <x v="14"/>
    <x v="1"/>
    <x v="4"/>
    <x v="0"/>
    <x v="0"/>
    <n v="42"/>
    <x v="2"/>
    <x v="3"/>
  </r>
  <r>
    <n v="1239"/>
    <x v="0"/>
    <x v="0"/>
    <x v="13"/>
    <x v="0"/>
    <n v="77"/>
    <s v="Wyoming"/>
    <x v="2"/>
    <x v="10"/>
    <x v="0"/>
    <x v="18"/>
    <x v="1"/>
    <x v="0"/>
    <x v="0"/>
    <x v="0"/>
    <n v="3"/>
    <x v="0"/>
    <x v="0"/>
  </r>
  <r>
    <n v="1240"/>
    <x v="46"/>
    <x v="0"/>
    <x v="7"/>
    <x v="2"/>
    <n v="37"/>
    <s v="New Jersey"/>
    <x v="3"/>
    <x v="23"/>
    <x v="1"/>
    <x v="6"/>
    <x v="1"/>
    <x v="3"/>
    <x v="0"/>
    <x v="0"/>
    <n v="32"/>
    <x v="5"/>
    <x v="6"/>
  </r>
  <r>
    <n v="1241"/>
    <x v="38"/>
    <x v="0"/>
    <x v="18"/>
    <x v="3"/>
    <n v="79"/>
    <s v="New Jersey"/>
    <x v="0"/>
    <x v="3"/>
    <x v="0"/>
    <x v="3"/>
    <x v="1"/>
    <x v="5"/>
    <x v="0"/>
    <x v="0"/>
    <n v="48"/>
    <x v="5"/>
    <x v="2"/>
  </r>
  <r>
    <n v="1242"/>
    <x v="44"/>
    <x v="0"/>
    <x v="15"/>
    <x v="0"/>
    <n v="51"/>
    <s v="Hawaii"/>
    <x v="3"/>
    <x v="6"/>
    <x v="0"/>
    <x v="0"/>
    <x v="1"/>
    <x v="0"/>
    <x v="0"/>
    <x v="0"/>
    <n v="34"/>
    <x v="2"/>
    <x v="1"/>
  </r>
  <r>
    <n v="1243"/>
    <x v="19"/>
    <x v="0"/>
    <x v="20"/>
    <x v="0"/>
    <n v="27"/>
    <s v="Nevada"/>
    <x v="2"/>
    <x v="12"/>
    <x v="2"/>
    <x v="17"/>
    <x v="1"/>
    <x v="2"/>
    <x v="0"/>
    <x v="0"/>
    <n v="15"/>
    <x v="4"/>
    <x v="3"/>
  </r>
  <r>
    <n v="1244"/>
    <x v="15"/>
    <x v="0"/>
    <x v="0"/>
    <x v="0"/>
    <n v="23"/>
    <s v="New Hampshire"/>
    <x v="1"/>
    <x v="6"/>
    <x v="1"/>
    <x v="21"/>
    <x v="1"/>
    <x v="5"/>
    <x v="0"/>
    <x v="0"/>
    <n v="22"/>
    <x v="5"/>
    <x v="2"/>
  </r>
  <r>
    <n v="1245"/>
    <x v="27"/>
    <x v="0"/>
    <x v="20"/>
    <x v="0"/>
    <n v="76"/>
    <s v="Indiana"/>
    <x v="1"/>
    <x v="5"/>
    <x v="2"/>
    <x v="20"/>
    <x v="1"/>
    <x v="4"/>
    <x v="0"/>
    <x v="0"/>
    <n v="2"/>
    <x v="1"/>
    <x v="5"/>
  </r>
  <r>
    <n v="1246"/>
    <x v="32"/>
    <x v="0"/>
    <x v="10"/>
    <x v="0"/>
    <n v="31"/>
    <s v="New York"/>
    <x v="2"/>
    <x v="10"/>
    <x v="3"/>
    <x v="23"/>
    <x v="1"/>
    <x v="3"/>
    <x v="0"/>
    <x v="0"/>
    <n v="30"/>
    <x v="4"/>
    <x v="1"/>
  </r>
  <r>
    <n v="1247"/>
    <x v="7"/>
    <x v="0"/>
    <x v="15"/>
    <x v="0"/>
    <n v="60"/>
    <s v="Louisiana"/>
    <x v="2"/>
    <x v="4"/>
    <x v="0"/>
    <x v="2"/>
    <x v="1"/>
    <x v="3"/>
    <x v="0"/>
    <x v="0"/>
    <n v="27"/>
    <x v="1"/>
    <x v="5"/>
  </r>
  <r>
    <n v="1248"/>
    <x v="13"/>
    <x v="0"/>
    <x v="17"/>
    <x v="0"/>
    <n v="99"/>
    <s v="Virginia"/>
    <x v="2"/>
    <x v="4"/>
    <x v="1"/>
    <x v="1"/>
    <x v="1"/>
    <x v="0"/>
    <x v="0"/>
    <x v="0"/>
    <n v="18"/>
    <x v="0"/>
    <x v="4"/>
  </r>
  <r>
    <n v="1249"/>
    <x v="46"/>
    <x v="0"/>
    <x v="19"/>
    <x v="3"/>
    <n v="37"/>
    <s v="Wisconsin"/>
    <x v="3"/>
    <x v="16"/>
    <x v="0"/>
    <x v="21"/>
    <x v="1"/>
    <x v="1"/>
    <x v="0"/>
    <x v="0"/>
    <n v="8"/>
    <x v="2"/>
    <x v="2"/>
  </r>
  <r>
    <n v="1250"/>
    <x v="46"/>
    <x v="0"/>
    <x v="23"/>
    <x v="1"/>
    <n v="50"/>
    <s v="Oregon"/>
    <x v="2"/>
    <x v="15"/>
    <x v="0"/>
    <x v="9"/>
    <x v="1"/>
    <x v="0"/>
    <x v="0"/>
    <x v="0"/>
    <n v="48"/>
    <x v="0"/>
    <x v="0"/>
  </r>
  <r>
    <n v="1251"/>
    <x v="16"/>
    <x v="0"/>
    <x v="2"/>
    <x v="0"/>
    <n v="26"/>
    <s v="New Hampshire"/>
    <x v="3"/>
    <x v="7"/>
    <x v="0"/>
    <x v="7"/>
    <x v="1"/>
    <x v="1"/>
    <x v="0"/>
    <x v="0"/>
    <n v="24"/>
    <x v="1"/>
    <x v="5"/>
  </r>
  <r>
    <n v="1252"/>
    <x v="19"/>
    <x v="0"/>
    <x v="6"/>
    <x v="0"/>
    <n v="86"/>
    <s v="Indiana"/>
    <x v="3"/>
    <x v="20"/>
    <x v="1"/>
    <x v="16"/>
    <x v="1"/>
    <x v="2"/>
    <x v="0"/>
    <x v="0"/>
    <n v="43"/>
    <x v="2"/>
    <x v="5"/>
  </r>
  <r>
    <n v="1253"/>
    <x v="48"/>
    <x v="0"/>
    <x v="3"/>
    <x v="1"/>
    <n v="41"/>
    <s v="Massachusetts"/>
    <x v="0"/>
    <x v="23"/>
    <x v="3"/>
    <x v="17"/>
    <x v="1"/>
    <x v="3"/>
    <x v="0"/>
    <x v="0"/>
    <n v="8"/>
    <x v="1"/>
    <x v="3"/>
  </r>
  <r>
    <n v="1254"/>
    <x v="31"/>
    <x v="0"/>
    <x v="3"/>
    <x v="1"/>
    <n v="23"/>
    <s v="Montana"/>
    <x v="3"/>
    <x v="16"/>
    <x v="0"/>
    <x v="8"/>
    <x v="1"/>
    <x v="0"/>
    <x v="0"/>
    <x v="0"/>
    <n v="49"/>
    <x v="3"/>
    <x v="2"/>
  </r>
  <r>
    <n v="1255"/>
    <x v="22"/>
    <x v="0"/>
    <x v="4"/>
    <x v="1"/>
    <n v="56"/>
    <s v="California"/>
    <x v="3"/>
    <x v="13"/>
    <x v="1"/>
    <x v="13"/>
    <x v="1"/>
    <x v="4"/>
    <x v="0"/>
    <x v="0"/>
    <n v="2"/>
    <x v="2"/>
    <x v="4"/>
  </r>
  <r>
    <n v="1256"/>
    <x v="11"/>
    <x v="0"/>
    <x v="19"/>
    <x v="3"/>
    <n v="68"/>
    <s v="Indiana"/>
    <x v="2"/>
    <x v="15"/>
    <x v="3"/>
    <x v="7"/>
    <x v="1"/>
    <x v="3"/>
    <x v="0"/>
    <x v="0"/>
    <n v="38"/>
    <x v="1"/>
    <x v="0"/>
  </r>
  <r>
    <n v="1257"/>
    <x v="4"/>
    <x v="0"/>
    <x v="7"/>
    <x v="2"/>
    <n v="48"/>
    <s v="West Virginia"/>
    <x v="1"/>
    <x v="8"/>
    <x v="0"/>
    <x v="15"/>
    <x v="1"/>
    <x v="0"/>
    <x v="0"/>
    <x v="0"/>
    <n v="4"/>
    <x v="1"/>
    <x v="0"/>
  </r>
  <r>
    <n v="1258"/>
    <x v="33"/>
    <x v="0"/>
    <x v="10"/>
    <x v="0"/>
    <n v="67"/>
    <s v="Minnesota"/>
    <x v="0"/>
    <x v="9"/>
    <x v="1"/>
    <x v="21"/>
    <x v="1"/>
    <x v="1"/>
    <x v="0"/>
    <x v="0"/>
    <n v="31"/>
    <x v="1"/>
    <x v="6"/>
  </r>
  <r>
    <n v="1259"/>
    <x v="36"/>
    <x v="0"/>
    <x v="23"/>
    <x v="1"/>
    <n v="87"/>
    <s v="Ohio"/>
    <x v="3"/>
    <x v="9"/>
    <x v="1"/>
    <x v="7"/>
    <x v="1"/>
    <x v="4"/>
    <x v="0"/>
    <x v="0"/>
    <n v="34"/>
    <x v="5"/>
    <x v="6"/>
  </r>
  <r>
    <n v="1260"/>
    <x v="33"/>
    <x v="0"/>
    <x v="11"/>
    <x v="0"/>
    <n v="64"/>
    <s v="Minnesota"/>
    <x v="2"/>
    <x v="2"/>
    <x v="3"/>
    <x v="20"/>
    <x v="1"/>
    <x v="3"/>
    <x v="0"/>
    <x v="0"/>
    <n v="45"/>
    <x v="2"/>
    <x v="5"/>
  </r>
  <r>
    <n v="1261"/>
    <x v="6"/>
    <x v="0"/>
    <x v="5"/>
    <x v="0"/>
    <n v="93"/>
    <s v="Virginia"/>
    <x v="3"/>
    <x v="14"/>
    <x v="1"/>
    <x v="7"/>
    <x v="1"/>
    <x v="5"/>
    <x v="0"/>
    <x v="0"/>
    <n v="30"/>
    <x v="5"/>
    <x v="3"/>
  </r>
  <r>
    <n v="1262"/>
    <x v="30"/>
    <x v="0"/>
    <x v="5"/>
    <x v="0"/>
    <n v="29"/>
    <s v="Connecticut"/>
    <x v="0"/>
    <x v="1"/>
    <x v="2"/>
    <x v="11"/>
    <x v="1"/>
    <x v="2"/>
    <x v="0"/>
    <x v="0"/>
    <n v="2"/>
    <x v="2"/>
    <x v="0"/>
  </r>
  <r>
    <n v="1263"/>
    <x v="26"/>
    <x v="0"/>
    <x v="23"/>
    <x v="1"/>
    <n v="62"/>
    <s v="Tennessee"/>
    <x v="0"/>
    <x v="18"/>
    <x v="0"/>
    <x v="6"/>
    <x v="1"/>
    <x v="5"/>
    <x v="0"/>
    <x v="0"/>
    <n v="44"/>
    <x v="0"/>
    <x v="5"/>
  </r>
  <r>
    <n v="1264"/>
    <x v="38"/>
    <x v="0"/>
    <x v="15"/>
    <x v="0"/>
    <n v="70"/>
    <s v="Delaware"/>
    <x v="0"/>
    <x v="18"/>
    <x v="0"/>
    <x v="12"/>
    <x v="1"/>
    <x v="4"/>
    <x v="0"/>
    <x v="0"/>
    <n v="1"/>
    <x v="2"/>
    <x v="4"/>
  </r>
  <r>
    <n v="1265"/>
    <x v="16"/>
    <x v="0"/>
    <x v="1"/>
    <x v="0"/>
    <n v="92"/>
    <s v="Vermont"/>
    <x v="1"/>
    <x v="24"/>
    <x v="0"/>
    <x v="25"/>
    <x v="1"/>
    <x v="2"/>
    <x v="0"/>
    <x v="0"/>
    <n v="1"/>
    <x v="0"/>
    <x v="4"/>
  </r>
  <r>
    <n v="1266"/>
    <x v="45"/>
    <x v="0"/>
    <x v="5"/>
    <x v="0"/>
    <n v="79"/>
    <s v="Louisiana"/>
    <x v="2"/>
    <x v="12"/>
    <x v="1"/>
    <x v="2"/>
    <x v="1"/>
    <x v="2"/>
    <x v="0"/>
    <x v="0"/>
    <n v="27"/>
    <x v="4"/>
    <x v="1"/>
  </r>
  <r>
    <n v="1267"/>
    <x v="30"/>
    <x v="0"/>
    <x v="0"/>
    <x v="0"/>
    <n v="31"/>
    <s v="North Dakota"/>
    <x v="2"/>
    <x v="15"/>
    <x v="3"/>
    <x v="17"/>
    <x v="1"/>
    <x v="3"/>
    <x v="0"/>
    <x v="0"/>
    <n v="14"/>
    <x v="5"/>
    <x v="6"/>
  </r>
  <r>
    <n v="1268"/>
    <x v="36"/>
    <x v="0"/>
    <x v="17"/>
    <x v="0"/>
    <n v="83"/>
    <s v="Oregon"/>
    <x v="1"/>
    <x v="0"/>
    <x v="1"/>
    <x v="2"/>
    <x v="1"/>
    <x v="3"/>
    <x v="0"/>
    <x v="0"/>
    <n v="41"/>
    <x v="1"/>
    <x v="1"/>
  </r>
  <r>
    <n v="1269"/>
    <x v="51"/>
    <x v="0"/>
    <x v="14"/>
    <x v="2"/>
    <n v="88"/>
    <s v="Idaho"/>
    <x v="3"/>
    <x v="4"/>
    <x v="0"/>
    <x v="3"/>
    <x v="1"/>
    <x v="2"/>
    <x v="0"/>
    <x v="0"/>
    <n v="25"/>
    <x v="5"/>
    <x v="4"/>
  </r>
  <r>
    <n v="1270"/>
    <x v="49"/>
    <x v="0"/>
    <x v="16"/>
    <x v="3"/>
    <n v="53"/>
    <s v="Vermont"/>
    <x v="2"/>
    <x v="12"/>
    <x v="1"/>
    <x v="21"/>
    <x v="1"/>
    <x v="3"/>
    <x v="0"/>
    <x v="0"/>
    <n v="47"/>
    <x v="3"/>
    <x v="3"/>
  </r>
  <r>
    <n v="1271"/>
    <x v="29"/>
    <x v="0"/>
    <x v="15"/>
    <x v="0"/>
    <n v="98"/>
    <s v="West Virginia"/>
    <x v="2"/>
    <x v="14"/>
    <x v="3"/>
    <x v="13"/>
    <x v="1"/>
    <x v="3"/>
    <x v="0"/>
    <x v="0"/>
    <n v="20"/>
    <x v="1"/>
    <x v="2"/>
  </r>
  <r>
    <n v="1272"/>
    <x v="27"/>
    <x v="0"/>
    <x v="16"/>
    <x v="3"/>
    <n v="57"/>
    <s v="Kentucky"/>
    <x v="1"/>
    <x v="0"/>
    <x v="1"/>
    <x v="24"/>
    <x v="1"/>
    <x v="5"/>
    <x v="0"/>
    <x v="0"/>
    <n v="42"/>
    <x v="3"/>
    <x v="2"/>
  </r>
  <r>
    <n v="1273"/>
    <x v="25"/>
    <x v="0"/>
    <x v="3"/>
    <x v="1"/>
    <n v="80"/>
    <s v="Wisconsin"/>
    <x v="2"/>
    <x v="20"/>
    <x v="0"/>
    <x v="14"/>
    <x v="1"/>
    <x v="0"/>
    <x v="0"/>
    <x v="0"/>
    <n v="16"/>
    <x v="4"/>
    <x v="5"/>
  </r>
  <r>
    <n v="1274"/>
    <x v="38"/>
    <x v="0"/>
    <x v="2"/>
    <x v="0"/>
    <n v="29"/>
    <s v="Mississippi"/>
    <x v="0"/>
    <x v="5"/>
    <x v="1"/>
    <x v="7"/>
    <x v="1"/>
    <x v="2"/>
    <x v="0"/>
    <x v="0"/>
    <n v="32"/>
    <x v="2"/>
    <x v="6"/>
  </r>
  <r>
    <n v="1275"/>
    <x v="22"/>
    <x v="0"/>
    <x v="19"/>
    <x v="3"/>
    <n v="73"/>
    <s v="Missouri"/>
    <x v="2"/>
    <x v="8"/>
    <x v="1"/>
    <x v="0"/>
    <x v="1"/>
    <x v="4"/>
    <x v="0"/>
    <x v="0"/>
    <n v="37"/>
    <x v="3"/>
    <x v="3"/>
  </r>
  <r>
    <n v="1276"/>
    <x v="0"/>
    <x v="0"/>
    <x v="1"/>
    <x v="0"/>
    <n v="32"/>
    <s v="Arkansas"/>
    <x v="1"/>
    <x v="2"/>
    <x v="3"/>
    <x v="9"/>
    <x v="1"/>
    <x v="3"/>
    <x v="0"/>
    <x v="0"/>
    <n v="1"/>
    <x v="3"/>
    <x v="5"/>
  </r>
  <r>
    <n v="1277"/>
    <x v="47"/>
    <x v="0"/>
    <x v="23"/>
    <x v="1"/>
    <n v="68"/>
    <s v="Wyoming"/>
    <x v="0"/>
    <x v="2"/>
    <x v="1"/>
    <x v="6"/>
    <x v="1"/>
    <x v="2"/>
    <x v="0"/>
    <x v="0"/>
    <n v="37"/>
    <x v="4"/>
    <x v="1"/>
  </r>
  <r>
    <n v="1278"/>
    <x v="1"/>
    <x v="0"/>
    <x v="0"/>
    <x v="0"/>
    <n v="97"/>
    <s v="Rhode Island"/>
    <x v="0"/>
    <x v="14"/>
    <x v="1"/>
    <x v="16"/>
    <x v="1"/>
    <x v="0"/>
    <x v="0"/>
    <x v="0"/>
    <n v="5"/>
    <x v="0"/>
    <x v="3"/>
  </r>
  <r>
    <n v="1279"/>
    <x v="48"/>
    <x v="0"/>
    <x v="6"/>
    <x v="0"/>
    <n v="98"/>
    <s v="Utah"/>
    <x v="2"/>
    <x v="10"/>
    <x v="3"/>
    <x v="11"/>
    <x v="1"/>
    <x v="2"/>
    <x v="0"/>
    <x v="0"/>
    <n v="31"/>
    <x v="0"/>
    <x v="0"/>
  </r>
  <r>
    <n v="1280"/>
    <x v="6"/>
    <x v="0"/>
    <x v="15"/>
    <x v="0"/>
    <n v="56"/>
    <s v="Maryland"/>
    <x v="0"/>
    <x v="4"/>
    <x v="3"/>
    <x v="18"/>
    <x v="1"/>
    <x v="0"/>
    <x v="0"/>
    <x v="0"/>
    <n v="18"/>
    <x v="5"/>
    <x v="2"/>
  </r>
  <r>
    <n v="1281"/>
    <x v="11"/>
    <x v="0"/>
    <x v="13"/>
    <x v="0"/>
    <n v="78"/>
    <s v="Georgia"/>
    <x v="0"/>
    <x v="3"/>
    <x v="0"/>
    <x v="14"/>
    <x v="1"/>
    <x v="4"/>
    <x v="0"/>
    <x v="0"/>
    <n v="39"/>
    <x v="0"/>
    <x v="6"/>
  </r>
  <r>
    <n v="1282"/>
    <x v="26"/>
    <x v="0"/>
    <x v="22"/>
    <x v="3"/>
    <n v="81"/>
    <s v="New Jersey"/>
    <x v="2"/>
    <x v="8"/>
    <x v="1"/>
    <x v="9"/>
    <x v="1"/>
    <x v="5"/>
    <x v="0"/>
    <x v="0"/>
    <n v="8"/>
    <x v="0"/>
    <x v="4"/>
  </r>
  <r>
    <n v="1283"/>
    <x v="41"/>
    <x v="0"/>
    <x v="5"/>
    <x v="0"/>
    <n v="68"/>
    <s v="New Hampshire"/>
    <x v="0"/>
    <x v="10"/>
    <x v="0"/>
    <x v="21"/>
    <x v="1"/>
    <x v="1"/>
    <x v="0"/>
    <x v="0"/>
    <n v="20"/>
    <x v="0"/>
    <x v="5"/>
  </r>
  <r>
    <n v="1284"/>
    <x v="28"/>
    <x v="0"/>
    <x v="5"/>
    <x v="0"/>
    <n v="94"/>
    <s v="Oregon"/>
    <x v="2"/>
    <x v="10"/>
    <x v="0"/>
    <x v="20"/>
    <x v="1"/>
    <x v="4"/>
    <x v="0"/>
    <x v="0"/>
    <n v="23"/>
    <x v="5"/>
    <x v="6"/>
  </r>
  <r>
    <n v="1285"/>
    <x v="13"/>
    <x v="0"/>
    <x v="10"/>
    <x v="0"/>
    <n v="93"/>
    <s v="Arkansas"/>
    <x v="2"/>
    <x v="13"/>
    <x v="1"/>
    <x v="20"/>
    <x v="1"/>
    <x v="0"/>
    <x v="0"/>
    <x v="0"/>
    <n v="38"/>
    <x v="3"/>
    <x v="0"/>
  </r>
  <r>
    <n v="1286"/>
    <x v="14"/>
    <x v="0"/>
    <x v="24"/>
    <x v="3"/>
    <n v="99"/>
    <s v="North Carolina"/>
    <x v="2"/>
    <x v="4"/>
    <x v="3"/>
    <x v="1"/>
    <x v="1"/>
    <x v="2"/>
    <x v="0"/>
    <x v="0"/>
    <n v="45"/>
    <x v="4"/>
    <x v="0"/>
  </r>
  <r>
    <n v="1287"/>
    <x v="37"/>
    <x v="0"/>
    <x v="24"/>
    <x v="3"/>
    <n v="49"/>
    <s v="West Virginia"/>
    <x v="0"/>
    <x v="22"/>
    <x v="0"/>
    <x v="8"/>
    <x v="1"/>
    <x v="2"/>
    <x v="0"/>
    <x v="0"/>
    <n v="44"/>
    <x v="5"/>
    <x v="0"/>
  </r>
  <r>
    <n v="1288"/>
    <x v="41"/>
    <x v="0"/>
    <x v="2"/>
    <x v="0"/>
    <n v="28"/>
    <s v="Utah"/>
    <x v="3"/>
    <x v="24"/>
    <x v="0"/>
    <x v="23"/>
    <x v="1"/>
    <x v="3"/>
    <x v="0"/>
    <x v="0"/>
    <n v="20"/>
    <x v="3"/>
    <x v="5"/>
  </r>
  <r>
    <n v="1289"/>
    <x v="17"/>
    <x v="0"/>
    <x v="22"/>
    <x v="3"/>
    <n v="93"/>
    <s v="South Dakota"/>
    <x v="3"/>
    <x v="4"/>
    <x v="0"/>
    <x v="7"/>
    <x v="1"/>
    <x v="3"/>
    <x v="0"/>
    <x v="0"/>
    <n v="34"/>
    <x v="3"/>
    <x v="4"/>
  </r>
  <r>
    <n v="1290"/>
    <x v="25"/>
    <x v="0"/>
    <x v="14"/>
    <x v="2"/>
    <n v="24"/>
    <s v="New Hampshire"/>
    <x v="2"/>
    <x v="16"/>
    <x v="3"/>
    <x v="3"/>
    <x v="1"/>
    <x v="2"/>
    <x v="0"/>
    <x v="0"/>
    <n v="10"/>
    <x v="3"/>
    <x v="1"/>
  </r>
  <r>
    <n v="1291"/>
    <x v="29"/>
    <x v="0"/>
    <x v="11"/>
    <x v="0"/>
    <n v="35"/>
    <s v="Maryland"/>
    <x v="2"/>
    <x v="21"/>
    <x v="1"/>
    <x v="23"/>
    <x v="1"/>
    <x v="1"/>
    <x v="0"/>
    <x v="0"/>
    <n v="3"/>
    <x v="3"/>
    <x v="2"/>
  </r>
  <r>
    <n v="1292"/>
    <x v="28"/>
    <x v="0"/>
    <x v="3"/>
    <x v="1"/>
    <n v="68"/>
    <s v="South Dakota"/>
    <x v="1"/>
    <x v="19"/>
    <x v="1"/>
    <x v="4"/>
    <x v="1"/>
    <x v="4"/>
    <x v="0"/>
    <x v="0"/>
    <n v="23"/>
    <x v="5"/>
    <x v="0"/>
  </r>
  <r>
    <n v="1293"/>
    <x v="8"/>
    <x v="0"/>
    <x v="22"/>
    <x v="3"/>
    <n v="61"/>
    <s v="Kentucky"/>
    <x v="2"/>
    <x v="1"/>
    <x v="2"/>
    <x v="20"/>
    <x v="1"/>
    <x v="1"/>
    <x v="0"/>
    <x v="0"/>
    <n v="42"/>
    <x v="4"/>
    <x v="2"/>
  </r>
  <r>
    <n v="1294"/>
    <x v="51"/>
    <x v="0"/>
    <x v="1"/>
    <x v="0"/>
    <n v="74"/>
    <s v="Florida"/>
    <x v="3"/>
    <x v="22"/>
    <x v="3"/>
    <x v="7"/>
    <x v="1"/>
    <x v="3"/>
    <x v="0"/>
    <x v="0"/>
    <n v="30"/>
    <x v="5"/>
    <x v="2"/>
  </r>
  <r>
    <n v="1295"/>
    <x v="7"/>
    <x v="0"/>
    <x v="5"/>
    <x v="0"/>
    <n v="64"/>
    <s v="Texas"/>
    <x v="2"/>
    <x v="5"/>
    <x v="2"/>
    <x v="9"/>
    <x v="1"/>
    <x v="3"/>
    <x v="0"/>
    <x v="0"/>
    <n v="21"/>
    <x v="1"/>
    <x v="6"/>
  </r>
  <r>
    <n v="1296"/>
    <x v="11"/>
    <x v="0"/>
    <x v="4"/>
    <x v="1"/>
    <n v="60"/>
    <s v="New Mexico"/>
    <x v="2"/>
    <x v="8"/>
    <x v="3"/>
    <x v="11"/>
    <x v="1"/>
    <x v="3"/>
    <x v="0"/>
    <x v="0"/>
    <n v="50"/>
    <x v="3"/>
    <x v="1"/>
  </r>
  <r>
    <n v="1297"/>
    <x v="39"/>
    <x v="0"/>
    <x v="2"/>
    <x v="0"/>
    <n v="29"/>
    <s v="South Dakota"/>
    <x v="1"/>
    <x v="11"/>
    <x v="1"/>
    <x v="11"/>
    <x v="1"/>
    <x v="0"/>
    <x v="0"/>
    <x v="0"/>
    <n v="16"/>
    <x v="1"/>
    <x v="4"/>
  </r>
  <r>
    <n v="1298"/>
    <x v="42"/>
    <x v="0"/>
    <x v="3"/>
    <x v="1"/>
    <n v="85"/>
    <s v="New Jersey"/>
    <x v="2"/>
    <x v="5"/>
    <x v="2"/>
    <x v="12"/>
    <x v="1"/>
    <x v="3"/>
    <x v="0"/>
    <x v="0"/>
    <n v="32"/>
    <x v="0"/>
    <x v="2"/>
  </r>
  <r>
    <n v="1299"/>
    <x v="26"/>
    <x v="0"/>
    <x v="13"/>
    <x v="0"/>
    <n v="81"/>
    <s v="Indiana"/>
    <x v="1"/>
    <x v="21"/>
    <x v="2"/>
    <x v="21"/>
    <x v="1"/>
    <x v="1"/>
    <x v="0"/>
    <x v="0"/>
    <n v="14"/>
    <x v="4"/>
    <x v="0"/>
  </r>
  <r>
    <n v="1300"/>
    <x v="26"/>
    <x v="0"/>
    <x v="22"/>
    <x v="3"/>
    <n v="23"/>
    <s v="Louisiana"/>
    <x v="0"/>
    <x v="11"/>
    <x v="3"/>
    <x v="15"/>
    <x v="1"/>
    <x v="4"/>
    <x v="0"/>
    <x v="0"/>
    <n v="42"/>
    <x v="0"/>
    <x v="4"/>
  </r>
  <r>
    <n v="1301"/>
    <x v="29"/>
    <x v="0"/>
    <x v="17"/>
    <x v="0"/>
    <n v="100"/>
    <s v="West Virginia"/>
    <x v="2"/>
    <x v="4"/>
    <x v="1"/>
    <x v="9"/>
    <x v="1"/>
    <x v="2"/>
    <x v="0"/>
    <x v="0"/>
    <n v="47"/>
    <x v="2"/>
    <x v="6"/>
  </r>
  <r>
    <n v="1302"/>
    <x v="32"/>
    <x v="0"/>
    <x v="5"/>
    <x v="0"/>
    <n v="54"/>
    <s v="Maine"/>
    <x v="2"/>
    <x v="20"/>
    <x v="3"/>
    <x v="16"/>
    <x v="1"/>
    <x v="0"/>
    <x v="0"/>
    <x v="0"/>
    <n v="21"/>
    <x v="5"/>
    <x v="1"/>
  </r>
  <r>
    <n v="1303"/>
    <x v="51"/>
    <x v="0"/>
    <x v="4"/>
    <x v="1"/>
    <n v="25"/>
    <s v="Idaho"/>
    <x v="2"/>
    <x v="9"/>
    <x v="3"/>
    <x v="3"/>
    <x v="1"/>
    <x v="2"/>
    <x v="0"/>
    <x v="0"/>
    <n v="37"/>
    <x v="2"/>
    <x v="5"/>
  </r>
  <r>
    <n v="1304"/>
    <x v="50"/>
    <x v="0"/>
    <x v="0"/>
    <x v="0"/>
    <n v="32"/>
    <s v="New York"/>
    <x v="0"/>
    <x v="5"/>
    <x v="2"/>
    <x v="0"/>
    <x v="1"/>
    <x v="2"/>
    <x v="0"/>
    <x v="0"/>
    <n v="10"/>
    <x v="2"/>
    <x v="2"/>
  </r>
  <r>
    <n v="1305"/>
    <x v="14"/>
    <x v="0"/>
    <x v="21"/>
    <x v="3"/>
    <n v="63"/>
    <s v="Montana"/>
    <x v="1"/>
    <x v="20"/>
    <x v="1"/>
    <x v="17"/>
    <x v="1"/>
    <x v="4"/>
    <x v="0"/>
    <x v="0"/>
    <n v="18"/>
    <x v="3"/>
    <x v="6"/>
  </r>
  <r>
    <n v="1306"/>
    <x v="18"/>
    <x v="0"/>
    <x v="13"/>
    <x v="0"/>
    <n v="56"/>
    <s v="Mississippi"/>
    <x v="3"/>
    <x v="15"/>
    <x v="1"/>
    <x v="9"/>
    <x v="1"/>
    <x v="0"/>
    <x v="0"/>
    <x v="0"/>
    <n v="2"/>
    <x v="3"/>
    <x v="6"/>
  </r>
  <r>
    <n v="1307"/>
    <x v="22"/>
    <x v="0"/>
    <x v="1"/>
    <x v="0"/>
    <n v="33"/>
    <s v="Alaska"/>
    <x v="0"/>
    <x v="18"/>
    <x v="0"/>
    <x v="9"/>
    <x v="1"/>
    <x v="2"/>
    <x v="0"/>
    <x v="0"/>
    <n v="40"/>
    <x v="3"/>
    <x v="2"/>
  </r>
  <r>
    <n v="1308"/>
    <x v="51"/>
    <x v="0"/>
    <x v="7"/>
    <x v="2"/>
    <n v="32"/>
    <s v="Missouri"/>
    <x v="0"/>
    <x v="13"/>
    <x v="2"/>
    <x v="0"/>
    <x v="1"/>
    <x v="0"/>
    <x v="0"/>
    <x v="0"/>
    <n v="43"/>
    <x v="3"/>
    <x v="2"/>
  </r>
  <r>
    <n v="1309"/>
    <x v="35"/>
    <x v="0"/>
    <x v="10"/>
    <x v="0"/>
    <n v="38"/>
    <s v="Rhode Island"/>
    <x v="0"/>
    <x v="16"/>
    <x v="2"/>
    <x v="14"/>
    <x v="1"/>
    <x v="2"/>
    <x v="0"/>
    <x v="0"/>
    <n v="14"/>
    <x v="2"/>
    <x v="6"/>
  </r>
  <r>
    <n v="1310"/>
    <x v="45"/>
    <x v="0"/>
    <x v="0"/>
    <x v="0"/>
    <n v="21"/>
    <s v="Hawaii"/>
    <x v="0"/>
    <x v="12"/>
    <x v="2"/>
    <x v="10"/>
    <x v="1"/>
    <x v="5"/>
    <x v="0"/>
    <x v="0"/>
    <n v="41"/>
    <x v="1"/>
    <x v="3"/>
  </r>
  <r>
    <n v="1311"/>
    <x v="49"/>
    <x v="0"/>
    <x v="15"/>
    <x v="0"/>
    <n v="59"/>
    <s v="South Carolina"/>
    <x v="0"/>
    <x v="18"/>
    <x v="0"/>
    <x v="0"/>
    <x v="1"/>
    <x v="5"/>
    <x v="0"/>
    <x v="0"/>
    <n v="38"/>
    <x v="2"/>
    <x v="6"/>
  </r>
  <r>
    <n v="1312"/>
    <x v="45"/>
    <x v="0"/>
    <x v="9"/>
    <x v="1"/>
    <n v="87"/>
    <s v="Tennessee"/>
    <x v="2"/>
    <x v="1"/>
    <x v="3"/>
    <x v="19"/>
    <x v="1"/>
    <x v="0"/>
    <x v="0"/>
    <x v="0"/>
    <n v="12"/>
    <x v="0"/>
    <x v="2"/>
  </r>
  <r>
    <n v="1313"/>
    <x v="17"/>
    <x v="0"/>
    <x v="17"/>
    <x v="0"/>
    <n v="79"/>
    <s v="Missouri"/>
    <x v="2"/>
    <x v="10"/>
    <x v="0"/>
    <x v="21"/>
    <x v="1"/>
    <x v="5"/>
    <x v="0"/>
    <x v="0"/>
    <n v="19"/>
    <x v="4"/>
    <x v="5"/>
  </r>
  <r>
    <n v="1314"/>
    <x v="27"/>
    <x v="0"/>
    <x v="9"/>
    <x v="1"/>
    <n v="28"/>
    <s v="Missouri"/>
    <x v="2"/>
    <x v="12"/>
    <x v="2"/>
    <x v="5"/>
    <x v="1"/>
    <x v="1"/>
    <x v="0"/>
    <x v="0"/>
    <n v="23"/>
    <x v="2"/>
    <x v="4"/>
  </r>
  <r>
    <n v="1315"/>
    <x v="32"/>
    <x v="0"/>
    <x v="23"/>
    <x v="1"/>
    <n v="67"/>
    <s v="Missouri"/>
    <x v="1"/>
    <x v="23"/>
    <x v="2"/>
    <x v="23"/>
    <x v="1"/>
    <x v="1"/>
    <x v="0"/>
    <x v="0"/>
    <n v="49"/>
    <x v="5"/>
    <x v="2"/>
  </r>
  <r>
    <n v="1316"/>
    <x v="19"/>
    <x v="0"/>
    <x v="6"/>
    <x v="0"/>
    <n v="75"/>
    <s v="Mississippi"/>
    <x v="0"/>
    <x v="14"/>
    <x v="1"/>
    <x v="19"/>
    <x v="1"/>
    <x v="4"/>
    <x v="0"/>
    <x v="0"/>
    <n v="29"/>
    <x v="5"/>
    <x v="3"/>
  </r>
  <r>
    <n v="1317"/>
    <x v="48"/>
    <x v="0"/>
    <x v="22"/>
    <x v="3"/>
    <n v="32"/>
    <s v="Arkansas"/>
    <x v="1"/>
    <x v="12"/>
    <x v="1"/>
    <x v="12"/>
    <x v="1"/>
    <x v="3"/>
    <x v="0"/>
    <x v="0"/>
    <n v="14"/>
    <x v="5"/>
    <x v="4"/>
  </r>
  <r>
    <n v="1318"/>
    <x v="48"/>
    <x v="0"/>
    <x v="13"/>
    <x v="0"/>
    <n v="43"/>
    <s v="Kentucky"/>
    <x v="2"/>
    <x v="14"/>
    <x v="1"/>
    <x v="11"/>
    <x v="1"/>
    <x v="1"/>
    <x v="0"/>
    <x v="0"/>
    <n v="19"/>
    <x v="1"/>
    <x v="5"/>
  </r>
  <r>
    <n v="1319"/>
    <x v="16"/>
    <x v="0"/>
    <x v="6"/>
    <x v="0"/>
    <n v="93"/>
    <s v="Connecticut"/>
    <x v="2"/>
    <x v="1"/>
    <x v="1"/>
    <x v="2"/>
    <x v="1"/>
    <x v="0"/>
    <x v="0"/>
    <x v="0"/>
    <n v="19"/>
    <x v="2"/>
    <x v="4"/>
  </r>
  <r>
    <n v="1320"/>
    <x v="13"/>
    <x v="0"/>
    <x v="12"/>
    <x v="3"/>
    <n v="24"/>
    <s v="Oklahoma"/>
    <x v="2"/>
    <x v="23"/>
    <x v="1"/>
    <x v="17"/>
    <x v="1"/>
    <x v="3"/>
    <x v="0"/>
    <x v="0"/>
    <n v="48"/>
    <x v="4"/>
    <x v="1"/>
  </r>
  <r>
    <n v="1321"/>
    <x v="19"/>
    <x v="0"/>
    <x v="19"/>
    <x v="3"/>
    <n v="31"/>
    <s v="California"/>
    <x v="3"/>
    <x v="11"/>
    <x v="3"/>
    <x v="0"/>
    <x v="1"/>
    <x v="1"/>
    <x v="0"/>
    <x v="0"/>
    <n v="19"/>
    <x v="5"/>
    <x v="2"/>
  </r>
  <r>
    <n v="1322"/>
    <x v="35"/>
    <x v="0"/>
    <x v="17"/>
    <x v="0"/>
    <n v="84"/>
    <s v="Missouri"/>
    <x v="0"/>
    <x v="20"/>
    <x v="0"/>
    <x v="18"/>
    <x v="1"/>
    <x v="0"/>
    <x v="0"/>
    <x v="0"/>
    <n v="45"/>
    <x v="4"/>
    <x v="6"/>
  </r>
  <r>
    <n v="1323"/>
    <x v="51"/>
    <x v="0"/>
    <x v="13"/>
    <x v="0"/>
    <n v="74"/>
    <s v="Washington"/>
    <x v="2"/>
    <x v="10"/>
    <x v="0"/>
    <x v="17"/>
    <x v="1"/>
    <x v="2"/>
    <x v="0"/>
    <x v="0"/>
    <n v="17"/>
    <x v="4"/>
    <x v="3"/>
  </r>
  <r>
    <n v="1324"/>
    <x v="44"/>
    <x v="0"/>
    <x v="6"/>
    <x v="0"/>
    <n v="62"/>
    <s v="New York"/>
    <x v="2"/>
    <x v="22"/>
    <x v="1"/>
    <x v="12"/>
    <x v="1"/>
    <x v="3"/>
    <x v="0"/>
    <x v="0"/>
    <n v="15"/>
    <x v="5"/>
    <x v="6"/>
  </r>
  <r>
    <n v="1325"/>
    <x v="31"/>
    <x v="0"/>
    <x v="16"/>
    <x v="3"/>
    <n v="77"/>
    <s v="Indiana"/>
    <x v="1"/>
    <x v="20"/>
    <x v="2"/>
    <x v="22"/>
    <x v="1"/>
    <x v="1"/>
    <x v="0"/>
    <x v="0"/>
    <n v="11"/>
    <x v="2"/>
    <x v="0"/>
  </r>
  <r>
    <n v="1326"/>
    <x v="48"/>
    <x v="0"/>
    <x v="21"/>
    <x v="3"/>
    <n v="73"/>
    <s v="Oregon"/>
    <x v="0"/>
    <x v="9"/>
    <x v="2"/>
    <x v="1"/>
    <x v="1"/>
    <x v="0"/>
    <x v="0"/>
    <x v="0"/>
    <n v="1"/>
    <x v="1"/>
    <x v="5"/>
  </r>
  <r>
    <n v="1327"/>
    <x v="37"/>
    <x v="0"/>
    <x v="9"/>
    <x v="1"/>
    <n v="50"/>
    <s v="Texas"/>
    <x v="2"/>
    <x v="21"/>
    <x v="1"/>
    <x v="12"/>
    <x v="1"/>
    <x v="1"/>
    <x v="0"/>
    <x v="0"/>
    <n v="17"/>
    <x v="1"/>
    <x v="5"/>
  </r>
  <r>
    <n v="1328"/>
    <x v="16"/>
    <x v="0"/>
    <x v="7"/>
    <x v="2"/>
    <n v="40"/>
    <s v="Florida"/>
    <x v="2"/>
    <x v="2"/>
    <x v="0"/>
    <x v="11"/>
    <x v="1"/>
    <x v="3"/>
    <x v="0"/>
    <x v="0"/>
    <n v="37"/>
    <x v="1"/>
    <x v="1"/>
  </r>
  <r>
    <n v="1329"/>
    <x v="43"/>
    <x v="0"/>
    <x v="1"/>
    <x v="0"/>
    <n v="97"/>
    <s v="Rhode Island"/>
    <x v="2"/>
    <x v="20"/>
    <x v="0"/>
    <x v="18"/>
    <x v="1"/>
    <x v="3"/>
    <x v="0"/>
    <x v="0"/>
    <n v="40"/>
    <x v="4"/>
    <x v="1"/>
  </r>
  <r>
    <n v="1330"/>
    <x v="27"/>
    <x v="0"/>
    <x v="24"/>
    <x v="3"/>
    <n v="63"/>
    <s v="Texas"/>
    <x v="2"/>
    <x v="21"/>
    <x v="3"/>
    <x v="13"/>
    <x v="1"/>
    <x v="0"/>
    <x v="0"/>
    <x v="0"/>
    <n v="50"/>
    <x v="3"/>
    <x v="6"/>
  </r>
  <r>
    <n v="1331"/>
    <x v="11"/>
    <x v="0"/>
    <x v="8"/>
    <x v="3"/>
    <n v="65"/>
    <s v="Vermont"/>
    <x v="2"/>
    <x v="4"/>
    <x v="3"/>
    <x v="3"/>
    <x v="1"/>
    <x v="3"/>
    <x v="0"/>
    <x v="0"/>
    <n v="20"/>
    <x v="3"/>
    <x v="4"/>
  </r>
  <r>
    <n v="1332"/>
    <x v="21"/>
    <x v="0"/>
    <x v="20"/>
    <x v="0"/>
    <n v="91"/>
    <s v="Maryland"/>
    <x v="2"/>
    <x v="12"/>
    <x v="1"/>
    <x v="4"/>
    <x v="1"/>
    <x v="3"/>
    <x v="0"/>
    <x v="0"/>
    <n v="8"/>
    <x v="3"/>
    <x v="4"/>
  </r>
  <r>
    <n v="1333"/>
    <x v="17"/>
    <x v="0"/>
    <x v="15"/>
    <x v="0"/>
    <n v="60"/>
    <s v="Alaska"/>
    <x v="1"/>
    <x v="9"/>
    <x v="1"/>
    <x v="24"/>
    <x v="1"/>
    <x v="5"/>
    <x v="0"/>
    <x v="0"/>
    <n v="16"/>
    <x v="4"/>
    <x v="3"/>
  </r>
  <r>
    <n v="1334"/>
    <x v="26"/>
    <x v="0"/>
    <x v="13"/>
    <x v="0"/>
    <n v="69"/>
    <s v="Idaho"/>
    <x v="2"/>
    <x v="12"/>
    <x v="0"/>
    <x v="2"/>
    <x v="1"/>
    <x v="2"/>
    <x v="0"/>
    <x v="0"/>
    <n v="9"/>
    <x v="4"/>
    <x v="3"/>
  </r>
  <r>
    <n v="1335"/>
    <x v="5"/>
    <x v="0"/>
    <x v="7"/>
    <x v="2"/>
    <n v="52"/>
    <s v="West Virginia"/>
    <x v="1"/>
    <x v="3"/>
    <x v="1"/>
    <x v="19"/>
    <x v="1"/>
    <x v="5"/>
    <x v="0"/>
    <x v="0"/>
    <n v="12"/>
    <x v="0"/>
    <x v="5"/>
  </r>
  <r>
    <n v="1336"/>
    <x v="19"/>
    <x v="0"/>
    <x v="23"/>
    <x v="1"/>
    <n v="49"/>
    <s v="Nevada"/>
    <x v="2"/>
    <x v="12"/>
    <x v="3"/>
    <x v="6"/>
    <x v="1"/>
    <x v="4"/>
    <x v="0"/>
    <x v="0"/>
    <n v="26"/>
    <x v="2"/>
    <x v="1"/>
  </r>
  <r>
    <n v="1337"/>
    <x v="51"/>
    <x v="0"/>
    <x v="4"/>
    <x v="1"/>
    <n v="85"/>
    <s v="Oregon"/>
    <x v="2"/>
    <x v="4"/>
    <x v="1"/>
    <x v="6"/>
    <x v="1"/>
    <x v="5"/>
    <x v="0"/>
    <x v="0"/>
    <n v="44"/>
    <x v="5"/>
    <x v="0"/>
  </r>
  <r>
    <n v="1338"/>
    <x v="43"/>
    <x v="0"/>
    <x v="1"/>
    <x v="0"/>
    <n v="86"/>
    <s v="Tennessee"/>
    <x v="0"/>
    <x v="5"/>
    <x v="1"/>
    <x v="23"/>
    <x v="1"/>
    <x v="0"/>
    <x v="0"/>
    <x v="0"/>
    <n v="19"/>
    <x v="2"/>
    <x v="4"/>
  </r>
  <r>
    <n v="1339"/>
    <x v="19"/>
    <x v="0"/>
    <x v="8"/>
    <x v="3"/>
    <n v="51"/>
    <s v="Alabama"/>
    <x v="1"/>
    <x v="22"/>
    <x v="0"/>
    <x v="5"/>
    <x v="1"/>
    <x v="3"/>
    <x v="0"/>
    <x v="0"/>
    <n v="43"/>
    <x v="3"/>
    <x v="0"/>
  </r>
  <r>
    <n v="1340"/>
    <x v="24"/>
    <x v="0"/>
    <x v="22"/>
    <x v="3"/>
    <n v="56"/>
    <s v="Indiana"/>
    <x v="0"/>
    <x v="8"/>
    <x v="0"/>
    <x v="16"/>
    <x v="1"/>
    <x v="2"/>
    <x v="0"/>
    <x v="0"/>
    <n v="5"/>
    <x v="4"/>
    <x v="6"/>
  </r>
  <r>
    <n v="1341"/>
    <x v="37"/>
    <x v="0"/>
    <x v="22"/>
    <x v="3"/>
    <n v="72"/>
    <s v="Idaho"/>
    <x v="2"/>
    <x v="15"/>
    <x v="3"/>
    <x v="14"/>
    <x v="1"/>
    <x v="2"/>
    <x v="0"/>
    <x v="0"/>
    <n v="5"/>
    <x v="5"/>
    <x v="6"/>
  </r>
  <r>
    <n v="1342"/>
    <x v="8"/>
    <x v="0"/>
    <x v="15"/>
    <x v="0"/>
    <n v="27"/>
    <s v="Rhode Island"/>
    <x v="3"/>
    <x v="22"/>
    <x v="3"/>
    <x v="3"/>
    <x v="1"/>
    <x v="3"/>
    <x v="0"/>
    <x v="0"/>
    <n v="31"/>
    <x v="4"/>
    <x v="3"/>
  </r>
  <r>
    <n v="1343"/>
    <x v="9"/>
    <x v="0"/>
    <x v="12"/>
    <x v="3"/>
    <n v="43"/>
    <s v="Arizona"/>
    <x v="3"/>
    <x v="22"/>
    <x v="2"/>
    <x v="23"/>
    <x v="1"/>
    <x v="4"/>
    <x v="0"/>
    <x v="0"/>
    <n v="11"/>
    <x v="4"/>
    <x v="5"/>
  </r>
  <r>
    <n v="1344"/>
    <x v="33"/>
    <x v="0"/>
    <x v="4"/>
    <x v="1"/>
    <n v="56"/>
    <s v="Florida"/>
    <x v="2"/>
    <x v="21"/>
    <x v="1"/>
    <x v="23"/>
    <x v="1"/>
    <x v="3"/>
    <x v="0"/>
    <x v="0"/>
    <n v="34"/>
    <x v="4"/>
    <x v="5"/>
  </r>
  <r>
    <n v="1345"/>
    <x v="19"/>
    <x v="0"/>
    <x v="17"/>
    <x v="0"/>
    <n v="37"/>
    <s v="New York"/>
    <x v="1"/>
    <x v="10"/>
    <x v="3"/>
    <x v="8"/>
    <x v="1"/>
    <x v="2"/>
    <x v="0"/>
    <x v="0"/>
    <n v="14"/>
    <x v="1"/>
    <x v="2"/>
  </r>
  <r>
    <n v="1346"/>
    <x v="37"/>
    <x v="0"/>
    <x v="10"/>
    <x v="0"/>
    <n v="21"/>
    <s v="Nebraska"/>
    <x v="2"/>
    <x v="3"/>
    <x v="3"/>
    <x v="15"/>
    <x v="1"/>
    <x v="3"/>
    <x v="0"/>
    <x v="0"/>
    <n v="42"/>
    <x v="0"/>
    <x v="1"/>
  </r>
  <r>
    <n v="1347"/>
    <x v="42"/>
    <x v="0"/>
    <x v="15"/>
    <x v="0"/>
    <n v="91"/>
    <s v="Mississippi"/>
    <x v="0"/>
    <x v="3"/>
    <x v="0"/>
    <x v="21"/>
    <x v="1"/>
    <x v="1"/>
    <x v="0"/>
    <x v="0"/>
    <n v="15"/>
    <x v="0"/>
    <x v="4"/>
  </r>
  <r>
    <n v="1348"/>
    <x v="42"/>
    <x v="0"/>
    <x v="1"/>
    <x v="0"/>
    <n v="95"/>
    <s v="Vermont"/>
    <x v="2"/>
    <x v="17"/>
    <x v="2"/>
    <x v="20"/>
    <x v="1"/>
    <x v="4"/>
    <x v="0"/>
    <x v="0"/>
    <n v="47"/>
    <x v="4"/>
    <x v="5"/>
  </r>
  <r>
    <n v="1349"/>
    <x v="1"/>
    <x v="0"/>
    <x v="22"/>
    <x v="3"/>
    <n v="54"/>
    <s v="Nebraska"/>
    <x v="3"/>
    <x v="7"/>
    <x v="1"/>
    <x v="4"/>
    <x v="1"/>
    <x v="3"/>
    <x v="0"/>
    <x v="0"/>
    <n v="23"/>
    <x v="2"/>
    <x v="0"/>
  </r>
  <r>
    <n v="1350"/>
    <x v="3"/>
    <x v="0"/>
    <x v="20"/>
    <x v="0"/>
    <n v="36"/>
    <s v="South Carolina"/>
    <x v="3"/>
    <x v="13"/>
    <x v="1"/>
    <x v="4"/>
    <x v="1"/>
    <x v="2"/>
    <x v="0"/>
    <x v="0"/>
    <n v="23"/>
    <x v="1"/>
    <x v="4"/>
  </r>
  <r>
    <n v="1351"/>
    <x v="18"/>
    <x v="0"/>
    <x v="12"/>
    <x v="3"/>
    <n v="71"/>
    <s v="Delaware"/>
    <x v="2"/>
    <x v="20"/>
    <x v="3"/>
    <x v="24"/>
    <x v="1"/>
    <x v="2"/>
    <x v="0"/>
    <x v="0"/>
    <n v="1"/>
    <x v="1"/>
    <x v="6"/>
  </r>
  <r>
    <n v="1352"/>
    <x v="11"/>
    <x v="0"/>
    <x v="7"/>
    <x v="2"/>
    <n v="31"/>
    <s v="Vermont"/>
    <x v="0"/>
    <x v="1"/>
    <x v="2"/>
    <x v="11"/>
    <x v="1"/>
    <x v="4"/>
    <x v="0"/>
    <x v="0"/>
    <n v="28"/>
    <x v="4"/>
    <x v="3"/>
  </r>
  <r>
    <n v="1353"/>
    <x v="13"/>
    <x v="0"/>
    <x v="19"/>
    <x v="3"/>
    <n v="89"/>
    <s v="Indiana"/>
    <x v="3"/>
    <x v="20"/>
    <x v="1"/>
    <x v="9"/>
    <x v="1"/>
    <x v="2"/>
    <x v="0"/>
    <x v="0"/>
    <n v="37"/>
    <x v="2"/>
    <x v="4"/>
  </r>
  <r>
    <n v="1354"/>
    <x v="31"/>
    <x v="0"/>
    <x v="13"/>
    <x v="0"/>
    <n v="83"/>
    <s v="Oregon"/>
    <x v="2"/>
    <x v="11"/>
    <x v="0"/>
    <x v="7"/>
    <x v="1"/>
    <x v="2"/>
    <x v="0"/>
    <x v="0"/>
    <n v="4"/>
    <x v="1"/>
    <x v="6"/>
  </r>
  <r>
    <n v="1355"/>
    <x v="14"/>
    <x v="0"/>
    <x v="21"/>
    <x v="3"/>
    <n v="42"/>
    <s v="Maryland"/>
    <x v="2"/>
    <x v="0"/>
    <x v="1"/>
    <x v="15"/>
    <x v="1"/>
    <x v="4"/>
    <x v="0"/>
    <x v="0"/>
    <n v="21"/>
    <x v="4"/>
    <x v="3"/>
  </r>
  <r>
    <n v="1356"/>
    <x v="35"/>
    <x v="0"/>
    <x v="6"/>
    <x v="0"/>
    <n v="91"/>
    <s v="Florida"/>
    <x v="2"/>
    <x v="24"/>
    <x v="2"/>
    <x v="21"/>
    <x v="1"/>
    <x v="4"/>
    <x v="0"/>
    <x v="0"/>
    <n v="50"/>
    <x v="3"/>
    <x v="4"/>
  </r>
  <r>
    <n v="1357"/>
    <x v="34"/>
    <x v="0"/>
    <x v="14"/>
    <x v="2"/>
    <n v="61"/>
    <s v="Indiana"/>
    <x v="2"/>
    <x v="17"/>
    <x v="1"/>
    <x v="17"/>
    <x v="1"/>
    <x v="1"/>
    <x v="0"/>
    <x v="0"/>
    <n v="34"/>
    <x v="4"/>
    <x v="2"/>
  </r>
  <r>
    <n v="1358"/>
    <x v="41"/>
    <x v="0"/>
    <x v="21"/>
    <x v="3"/>
    <n v="66"/>
    <s v="Texas"/>
    <x v="1"/>
    <x v="16"/>
    <x v="2"/>
    <x v="1"/>
    <x v="1"/>
    <x v="2"/>
    <x v="0"/>
    <x v="0"/>
    <n v="20"/>
    <x v="1"/>
    <x v="3"/>
  </r>
  <r>
    <n v="1359"/>
    <x v="1"/>
    <x v="0"/>
    <x v="18"/>
    <x v="3"/>
    <n v="22"/>
    <s v="Nebraska"/>
    <x v="3"/>
    <x v="6"/>
    <x v="1"/>
    <x v="25"/>
    <x v="1"/>
    <x v="5"/>
    <x v="0"/>
    <x v="0"/>
    <n v="25"/>
    <x v="0"/>
    <x v="6"/>
  </r>
  <r>
    <n v="1360"/>
    <x v="7"/>
    <x v="0"/>
    <x v="15"/>
    <x v="0"/>
    <n v="68"/>
    <s v="North Carolina"/>
    <x v="1"/>
    <x v="17"/>
    <x v="0"/>
    <x v="24"/>
    <x v="1"/>
    <x v="5"/>
    <x v="0"/>
    <x v="0"/>
    <n v="26"/>
    <x v="4"/>
    <x v="0"/>
  </r>
  <r>
    <n v="1361"/>
    <x v="19"/>
    <x v="0"/>
    <x v="11"/>
    <x v="0"/>
    <n v="43"/>
    <s v="Alabama"/>
    <x v="0"/>
    <x v="13"/>
    <x v="3"/>
    <x v="11"/>
    <x v="1"/>
    <x v="0"/>
    <x v="0"/>
    <x v="0"/>
    <n v="4"/>
    <x v="4"/>
    <x v="2"/>
  </r>
  <r>
    <n v="1362"/>
    <x v="34"/>
    <x v="0"/>
    <x v="10"/>
    <x v="0"/>
    <n v="32"/>
    <s v="Alabama"/>
    <x v="2"/>
    <x v="19"/>
    <x v="3"/>
    <x v="18"/>
    <x v="1"/>
    <x v="2"/>
    <x v="0"/>
    <x v="0"/>
    <n v="39"/>
    <x v="5"/>
    <x v="5"/>
  </r>
  <r>
    <n v="1363"/>
    <x v="38"/>
    <x v="0"/>
    <x v="7"/>
    <x v="2"/>
    <n v="46"/>
    <s v="Colorado"/>
    <x v="2"/>
    <x v="0"/>
    <x v="3"/>
    <x v="24"/>
    <x v="1"/>
    <x v="0"/>
    <x v="0"/>
    <x v="0"/>
    <n v="29"/>
    <x v="1"/>
    <x v="1"/>
  </r>
  <r>
    <n v="1364"/>
    <x v="24"/>
    <x v="0"/>
    <x v="0"/>
    <x v="0"/>
    <n v="90"/>
    <s v="Wisconsin"/>
    <x v="0"/>
    <x v="16"/>
    <x v="2"/>
    <x v="17"/>
    <x v="1"/>
    <x v="0"/>
    <x v="0"/>
    <x v="0"/>
    <n v="47"/>
    <x v="3"/>
    <x v="3"/>
  </r>
  <r>
    <n v="1365"/>
    <x v="33"/>
    <x v="0"/>
    <x v="19"/>
    <x v="3"/>
    <n v="75"/>
    <s v="Delaware"/>
    <x v="0"/>
    <x v="22"/>
    <x v="3"/>
    <x v="10"/>
    <x v="1"/>
    <x v="0"/>
    <x v="0"/>
    <x v="0"/>
    <n v="5"/>
    <x v="1"/>
    <x v="6"/>
  </r>
  <r>
    <n v="1366"/>
    <x v="48"/>
    <x v="0"/>
    <x v="8"/>
    <x v="3"/>
    <n v="69"/>
    <s v="Indiana"/>
    <x v="2"/>
    <x v="23"/>
    <x v="0"/>
    <x v="9"/>
    <x v="1"/>
    <x v="5"/>
    <x v="0"/>
    <x v="0"/>
    <n v="18"/>
    <x v="4"/>
    <x v="0"/>
  </r>
  <r>
    <n v="1367"/>
    <x v="4"/>
    <x v="0"/>
    <x v="22"/>
    <x v="3"/>
    <n v="40"/>
    <s v="Iowa"/>
    <x v="2"/>
    <x v="23"/>
    <x v="3"/>
    <x v="0"/>
    <x v="1"/>
    <x v="1"/>
    <x v="0"/>
    <x v="0"/>
    <n v="10"/>
    <x v="2"/>
    <x v="0"/>
  </r>
  <r>
    <n v="1368"/>
    <x v="52"/>
    <x v="0"/>
    <x v="22"/>
    <x v="3"/>
    <n v="63"/>
    <s v="Iowa"/>
    <x v="1"/>
    <x v="13"/>
    <x v="3"/>
    <x v="22"/>
    <x v="1"/>
    <x v="0"/>
    <x v="0"/>
    <x v="0"/>
    <n v="25"/>
    <x v="1"/>
    <x v="3"/>
  </r>
  <r>
    <n v="1369"/>
    <x v="3"/>
    <x v="0"/>
    <x v="5"/>
    <x v="0"/>
    <n v="36"/>
    <s v="Wisconsin"/>
    <x v="0"/>
    <x v="20"/>
    <x v="2"/>
    <x v="8"/>
    <x v="1"/>
    <x v="0"/>
    <x v="0"/>
    <x v="0"/>
    <n v="2"/>
    <x v="1"/>
    <x v="1"/>
  </r>
  <r>
    <n v="1370"/>
    <x v="45"/>
    <x v="0"/>
    <x v="9"/>
    <x v="1"/>
    <n v="75"/>
    <s v="Iowa"/>
    <x v="2"/>
    <x v="14"/>
    <x v="0"/>
    <x v="4"/>
    <x v="1"/>
    <x v="3"/>
    <x v="0"/>
    <x v="0"/>
    <n v="48"/>
    <x v="0"/>
    <x v="0"/>
  </r>
  <r>
    <n v="1371"/>
    <x v="7"/>
    <x v="0"/>
    <x v="18"/>
    <x v="3"/>
    <n v="67"/>
    <s v="Montana"/>
    <x v="0"/>
    <x v="15"/>
    <x v="2"/>
    <x v="3"/>
    <x v="1"/>
    <x v="4"/>
    <x v="0"/>
    <x v="0"/>
    <n v="41"/>
    <x v="4"/>
    <x v="6"/>
  </r>
  <r>
    <n v="1372"/>
    <x v="37"/>
    <x v="0"/>
    <x v="13"/>
    <x v="0"/>
    <n v="64"/>
    <s v="Mississippi"/>
    <x v="2"/>
    <x v="4"/>
    <x v="1"/>
    <x v="11"/>
    <x v="1"/>
    <x v="5"/>
    <x v="0"/>
    <x v="0"/>
    <n v="42"/>
    <x v="2"/>
    <x v="5"/>
  </r>
  <r>
    <n v="1373"/>
    <x v="14"/>
    <x v="0"/>
    <x v="0"/>
    <x v="0"/>
    <n v="61"/>
    <s v="Michigan"/>
    <x v="2"/>
    <x v="0"/>
    <x v="3"/>
    <x v="17"/>
    <x v="1"/>
    <x v="4"/>
    <x v="0"/>
    <x v="0"/>
    <n v="44"/>
    <x v="3"/>
    <x v="4"/>
  </r>
  <r>
    <n v="1374"/>
    <x v="20"/>
    <x v="0"/>
    <x v="24"/>
    <x v="3"/>
    <n v="40"/>
    <s v="Virginia"/>
    <x v="0"/>
    <x v="2"/>
    <x v="0"/>
    <x v="5"/>
    <x v="1"/>
    <x v="5"/>
    <x v="0"/>
    <x v="0"/>
    <n v="6"/>
    <x v="1"/>
    <x v="3"/>
  </r>
  <r>
    <n v="1375"/>
    <x v="40"/>
    <x v="0"/>
    <x v="8"/>
    <x v="3"/>
    <n v="97"/>
    <s v="New York"/>
    <x v="2"/>
    <x v="16"/>
    <x v="3"/>
    <x v="2"/>
    <x v="1"/>
    <x v="1"/>
    <x v="0"/>
    <x v="0"/>
    <n v="5"/>
    <x v="4"/>
    <x v="3"/>
  </r>
  <r>
    <n v="1376"/>
    <x v="32"/>
    <x v="0"/>
    <x v="4"/>
    <x v="1"/>
    <n v="31"/>
    <s v="Maine"/>
    <x v="0"/>
    <x v="18"/>
    <x v="1"/>
    <x v="7"/>
    <x v="1"/>
    <x v="4"/>
    <x v="0"/>
    <x v="0"/>
    <n v="8"/>
    <x v="2"/>
    <x v="2"/>
  </r>
  <r>
    <n v="1377"/>
    <x v="9"/>
    <x v="0"/>
    <x v="3"/>
    <x v="1"/>
    <n v="65"/>
    <s v="New Jersey"/>
    <x v="0"/>
    <x v="6"/>
    <x v="1"/>
    <x v="16"/>
    <x v="1"/>
    <x v="1"/>
    <x v="0"/>
    <x v="0"/>
    <n v="24"/>
    <x v="3"/>
    <x v="2"/>
  </r>
  <r>
    <n v="1378"/>
    <x v="23"/>
    <x v="0"/>
    <x v="12"/>
    <x v="3"/>
    <n v="54"/>
    <s v="Maryland"/>
    <x v="0"/>
    <x v="8"/>
    <x v="1"/>
    <x v="21"/>
    <x v="1"/>
    <x v="2"/>
    <x v="0"/>
    <x v="0"/>
    <n v="42"/>
    <x v="0"/>
    <x v="5"/>
  </r>
  <r>
    <n v="1379"/>
    <x v="43"/>
    <x v="0"/>
    <x v="14"/>
    <x v="2"/>
    <n v="49"/>
    <s v="Kentucky"/>
    <x v="3"/>
    <x v="12"/>
    <x v="3"/>
    <x v="15"/>
    <x v="1"/>
    <x v="1"/>
    <x v="0"/>
    <x v="0"/>
    <n v="24"/>
    <x v="0"/>
    <x v="1"/>
  </r>
  <r>
    <n v="1380"/>
    <x v="3"/>
    <x v="0"/>
    <x v="17"/>
    <x v="0"/>
    <n v="64"/>
    <s v="Minnesota"/>
    <x v="0"/>
    <x v="7"/>
    <x v="3"/>
    <x v="11"/>
    <x v="1"/>
    <x v="4"/>
    <x v="0"/>
    <x v="0"/>
    <n v="38"/>
    <x v="0"/>
    <x v="4"/>
  </r>
  <r>
    <n v="1381"/>
    <x v="47"/>
    <x v="0"/>
    <x v="4"/>
    <x v="1"/>
    <n v="35"/>
    <s v="Massachusetts"/>
    <x v="1"/>
    <x v="19"/>
    <x v="0"/>
    <x v="12"/>
    <x v="1"/>
    <x v="3"/>
    <x v="0"/>
    <x v="0"/>
    <n v="41"/>
    <x v="1"/>
    <x v="0"/>
  </r>
  <r>
    <n v="1382"/>
    <x v="11"/>
    <x v="0"/>
    <x v="9"/>
    <x v="1"/>
    <n v="86"/>
    <s v="Illinois"/>
    <x v="0"/>
    <x v="14"/>
    <x v="0"/>
    <x v="3"/>
    <x v="1"/>
    <x v="3"/>
    <x v="0"/>
    <x v="0"/>
    <n v="48"/>
    <x v="0"/>
    <x v="3"/>
  </r>
  <r>
    <n v="1383"/>
    <x v="33"/>
    <x v="0"/>
    <x v="14"/>
    <x v="2"/>
    <n v="55"/>
    <s v="Michigan"/>
    <x v="0"/>
    <x v="18"/>
    <x v="0"/>
    <x v="6"/>
    <x v="1"/>
    <x v="0"/>
    <x v="0"/>
    <x v="0"/>
    <n v="16"/>
    <x v="4"/>
    <x v="3"/>
  </r>
  <r>
    <n v="1384"/>
    <x v="24"/>
    <x v="0"/>
    <x v="18"/>
    <x v="3"/>
    <n v="58"/>
    <s v="Wisconsin"/>
    <x v="2"/>
    <x v="19"/>
    <x v="1"/>
    <x v="13"/>
    <x v="1"/>
    <x v="0"/>
    <x v="0"/>
    <x v="0"/>
    <n v="4"/>
    <x v="0"/>
    <x v="5"/>
  </r>
  <r>
    <n v="1385"/>
    <x v="5"/>
    <x v="0"/>
    <x v="4"/>
    <x v="1"/>
    <n v="96"/>
    <s v="Alaska"/>
    <x v="2"/>
    <x v="19"/>
    <x v="3"/>
    <x v="12"/>
    <x v="1"/>
    <x v="3"/>
    <x v="0"/>
    <x v="0"/>
    <n v="8"/>
    <x v="4"/>
    <x v="1"/>
  </r>
  <r>
    <n v="1386"/>
    <x v="38"/>
    <x v="0"/>
    <x v="16"/>
    <x v="3"/>
    <n v="64"/>
    <s v="Mississippi"/>
    <x v="2"/>
    <x v="21"/>
    <x v="3"/>
    <x v="5"/>
    <x v="1"/>
    <x v="5"/>
    <x v="0"/>
    <x v="0"/>
    <n v="1"/>
    <x v="4"/>
    <x v="4"/>
  </r>
  <r>
    <n v="1387"/>
    <x v="33"/>
    <x v="0"/>
    <x v="14"/>
    <x v="2"/>
    <n v="56"/>
    <s v="Oregon"/>
    <x v="2"/>
    <x v="5"/>
    <x v="3"/>
    <x v="17"/>
    <x v="1"/>
    <x v="2"/>
    <x v="0"/>
    <x v="0"/>
    <n v="4"/>
    <x v="5"/>
    <x v="3"/>
  </r>
  <r>
    <n v="1388"/>
    <x v="3"/>
    <x v="0"/>
    <x v="0"/>
    <x v="0"/>
    <n v="85"/>
    <s v="Maryland"/>
    <x v="2"/>
    <x v="9"/>
    <x v="0"/>
    <x v="22"/>
    <x v="1"/>
    <x v="3"/>
    <x v="0"/>
    <x v="0"/>
    <n v="20"/>
    <x v="2"/>
    <x v="5"/>
  </r>
  <r>
    <n v="1389"/>
    <x v="46"/>
    <x v="0"/>
    <x v="10"/>
    <x v="0"/>
    <n v="23"/>
    <s v="Arkansas"/>
    <x v="2"/>
    <x v="12"/>
    <x v="1"/>
    <x v="20"/>
    <x v="1"/>
    <x v="0"/>
    <x v="0"/>
    <x v="0"/>
    <n v="40"/>
    <x v="1"/>
    <x v="3"/>
  </r>
  <r>
    <n v="1390"/>
    <x v="35"/>
    <x v="0"/>
    <x v="18"/>
    <x v="3"/>
    <n v="72"/>
    <s v="Illinois"/>
    <x v="0"/>
    <x v="20"/>
    <x v="3"/>
    <x v="5"/>
    <x v="1"/>
    <x v="5"/>
    <x v="0"/>
    <x v="0"/>
    <n v="8"/>
    <x v="5"/>
    <x v="0"/>
  </r>
  <r>
    <n v="1391"/>
    <x v="15"/>
    <x v="0"/>
    <x v="19"/>
    <x v="3"/>
    <n v="38"/>
    <s v="Arkansas"/>
    <x v="2"/>
    <x v="1"/>
    <x v="2"/>
    <x v="24"/>
    <x v="1"/>
    <x v="3"/>
    <x v="0"/>
    <x v="0"/>
    <n v="42"/>
    <x v="5"/>
    <x v="1"/>
  </r>
  <r>
    <n v="1392"/>
    <x v="10"/>
    <x v="0"/>
    <x v="0"/>
    <x v="0"/>
    <n v="29"/>
    <s v="Mississippi"/>
    <x v="1"/>
    <x v="3"/>
    <x v="0"/>
    <x v="15"/>
    <x v="1"/>
    <x v="0"/>
    <x v="0"/>
    <x v="0"/>
    <n v="38"/>
    <x v="2"/>
    <x v="2"/>
  </r>
  <r>
    <n v="1393"/>
    <x v="18"/>
    <x v="0"/>
    <x v="24"/>
    <x v="3"/>
    <n v="46"/>
    <s v="Arkansas"/>
    <x v="2"/>
    <x v="22"/>
    <x v="1"/>
    <x v="19"/>
    <x v="1"/>
    <x v="0"/>
    <x v="0"/>
    <x v="0"/>
    <n v="34"/>
    <x v="0"/>
    <x v="6"/>
  </r>
  <r>
    <n v="1394"/>
    <x v="5"/>
    <x v="0"/>
    <x v="24"/>
    <x v="3"/>
    <n v="58"/>
    <s v="Idaho"/>
    <x v="0"/>
    <x v="22"/>
    <x v="1"/>
    <x v="20"/>
    <x v="1"/>
    <x v="0"/>
    <x v="0"/>
    <x v="0"/>
    <n v="14"/>
    <x v="3"/>
    <x v="0"/>
  </r>
  <r>
    <n v="1395"/>
    <x v="8"/>
    <x v="0"/>
    <x v="7"/>
    <x v="2"/>
    <n v="43"/>
    <s v="Iowa"/>
    <x v="0"/>
    <x v="23"/>
    <x v="3"/>
    <x v="10"/>
    <x v="1"/>
    <x v="2"/>
    <x v="0"/>
    <x v="0"/>
    <n v="39"/>
    <x v="1"/>
    <x v="1"/>
  </r>
  <r>
    <n v="1396"/>
    <x v="36"/>
    <x v="0"/>
    <x v="18"/>
    <x v="3"/>
    <n v="32"/>
    <s v="West Virginia"/>
    <x v="0"/>
    <x v="2"/>
    <x v="1"/>
    <x v="11"/>
    <x v="1"/>
    <x v="2"/>
    <x v="0"/>
    <x v="0"/>
    <n v="40"/>
    <x v="3"/>
    <x v="4"/>
  </r>
  <r>
    <n v="1397"/>
    <x v="43"/>
    <x v="0"/>
    <x v="13"/>
    <x v="0"/>
    <n v="30"/>
    <s v="Wisconsin"/>
    <x v="3"/>
    <x v="12"/>
    <x v="0"/>
    <x v="21"/>
    <x v="1"/>
    <x v="2"/>
    <x v="0"/>
    <x v="0"/>
    <n v="49"/>
    <x v="5"/>
    <x v="5"/>
  </r>
  <r>
    <n v="1398"/>
    <x v="0"/>
    <x v="0"/>
    <x v="12"/>
    <x v="3"/>
    <n v="67"/>
    <s v="Massachusetts"/>
    <x v="1"/>
    <x v="23"/>
    <x v="2"/>
    <x v="10"/>
    <x v="1"/>
    <x v="5"/>
    <x v="0"/>
    <x v="0"/>
    <n v="33"/>
    <x v="3"/>
    <x v="2"/>
  </r>
  <r>
    <n v="1399"/>
    <x v="11"/>
    <x v="0"/>
    <x v="10"/>
    <x v="0"/>
    <n v="45"/>
    <s v="Texas"/>
    <x v="2"/>
    <x v="17"/>
    <x v="2"/>
    <x v="25"/>
    <x v="1"/>
    <x v="1"/>
    <x v="0"/>
    <x v="0"/>
    <n v="25"/>
    <x v="2"/>
    <x v="1"/>
  </r>
  <r>
    <n v="1400"/>
    <x v="1"/>
    <x v="0"/>
    <x v="19"/>
    <x v="3"/>
    <n v="81"/>
    <s v="Nebraska"/>
    <x v="2"/>
    <x v="8"/>
    <x v="0"/>
    <x v="0"/>
    <x v="1"/>
    <x v="5"/>
    <x v="0"/>
    <x v="0"/>
    <n v="48"/>
    <x v="0"/>
    <x v="2"/>
  </r>
  <r>
    <n v="1401"/>
    <x v="24"/>
    <x v="0"/>
    <x v="21"/>
    <x v="3"/>
    <n v="23"/>
    <s v="Nevada"/>
    <x v="2"/>
    <x v="16"/>
    <x v="3"/>
    <x v="15"/>
    <x v="1"/>
    <x v="2"/>
    <x v="0"/>
    <x v="0"/>
    <n v="22"/>
    <x v="2"/>
    <x v="6"/>
  </r>
  <r>
    <n v="1402"/>
    <x v="51"/>
    <x v="0"/>
    <x v="3"/>
    <x v="1"/>
    <n v="59"/>
    <s v="Indiana"/>
    <x v="2"/>
    <x v="24"/>
    <x v="3"/>
    <x v="1"/>
    <x v="1"/>
    <x v="4"/>
    <x v="0"/>
    <x v="0"/>
    <n v="1"/>
    <x v="3"/>
    <x v="1"/>
  </r>
  <r>
    <n v="1403"/>
    <x v="46"/>
    <x v="0"/>
    <x v="12"/>
    <x v="3"/>
    <n v="21"/>
    <s v="North Dakota"/>
    <x v="0"/>
    <x v="3"/>
    <x v="2"/>
    <x v="0"/>
    <x v="1"/>
    <x v="0"/>
    <x v="0"/>
    <x v="0"/>
    <n v="47"/>
    <x v="3"/>
    <x v="5"/>
  </r>
  <r>
    <n v="1404"/>
    <x v="8"/>
    <x v="0"/>
    <x v="21"/>
    <x v="3"/>
    <n v="20"/>
    <s v="Georgia"/>
    <x v="2"/>
    <x v="15"/>
    <x v="1"/>
    <x v="15"/>
    <x v="1"/>
    <x v="5"/>
    <x v="0"/>
    <x v="0"/>
    <n v="20"/>
    <x v="2"/>
    <x v="4"/>
  </r>
  <r>
    <n v="1405"/>
    <x v="24"/>
    <x v="0"/>
    <x v="16"/>
    <x v="3"/>
    <n v="28"/>
    <s v="New Mexico"/>
    <x v="2"/>
    <x v="4"/>
    <x v="0"/>
    <x v="1"/>
    <x v="1"/>
    <x v="2"/>
    <x v="0"/>
    <x v="0"/>
    <n v="10"/>
    <x v="5"/>
    <x v="1"/>
  </r>
  <r>
    <n v="1406"/>
    <x v="23"/>
    <x v="0"/>
    <x v="20"/>
    <x v="0"/>
    <n v="100"/>
    <s v="New Hampshire"/>
    <x v="2"/>
    <x v="15"/>
    <x v="0"/>
    <x v="2"/>
    <x v="1"/>
    <x v="5"/>
    <x v="0"/>
    <x v="0"/>
    <n v="39"/>
    <x v="2"/>
    <x v="5"/>
  </r>
  <r>
    <n v="1407"/>
    <x v="45"/>
    <x v="0"/>
    <x v="5"/>
    <x v="0"/>
    <n v="46"/>
    <s v="Washington"/>
    <x v="0"/>
    <x v="2"/>
    <x v="1"/>
    <x v="15"/>
    <x v="1"/>
    <x v="0"/>
    <x v="0"/>
    <x v="0"/>
    <n v="15"/>
    <x v="5"/>
    <x v="5"/>
  </r>
  <r>
    <n v="1408"/>
    <x v="19"/>
    <x v="0"/>
    <x v="8"/>
    <x v="3"/>
    <n v="61"/>
    <s v="Nevada"/>
    <x v="3"/>
    <x v="4"/>
    <x v="1"/>
    <x v="9"/>
    <x v="1"/>
    <x v="0"/>
    <x v="0"/>
    <x v="0"/>
    <n v="11"/>
    <x v="2"/>
    <x v="2"/>
  </r>
  <r>
    <n v="1409"/>
    <x v="44"/>
    <x v="0"/>
    <x v="0"/>
    <x v="0"/>
    <n v="58"/>
    <s v="Maine"/>
    <x v="2"/>
    <x v="22"/>
    <x v="0"/>
    <x v="7"/>
    <x v="1"/>
    <x v="1"/>
    <x v="0"/>
    <x v="0"/>
    <n v="38"/>
    <x v="0"/>
    <x v="1"/>
  </r>
  <r>
    <n v="1410"/>
    <x v="50"/>
    <x v="0"/>
    <x v="21"/>
    <x v="3"/>
    <n v="50"/>
    <s v="Idaho"/>
    <x v="2"/>
    <x v="24"/>
    <x v="1"/>
    <x v="19"/>
    <x v="1"/>
    <x v="3"/>
    <x v="0"/>
    <x v="0"/>
    <n v="41"/>
    <x v="1"/>
    <x v="0"/>
  </r>
  <r>
    <n v="1411"/>
    <x v="12"/>
    <x v="0"/>
    <x v="19"/>
    <x v="3"/>
    <n v="93"/>
    <s v="Tennessee"/>
    <x v="2"/>
    <x v="7"/>
    <x v="2"/>
    <x v="17"/>
    <x v="1"/>
    <x v="5"/>
    <x v="0"/>
    <x v="0"/>
    <n v="18"/>
    <x v="5"/>
    <x v="2"/>
  </r>
  <r>
    <n v="1412"/>
    <x v="39"/>
    <x v="0"/>
    <x v="11"/>
    <x v="0"/>
    <n v="24"/>
    <s v="Louisiana"/>
    <x v="0"/>
    <x v="14"/>
    <x v="2"/>
    <x v="11"/>
    <x v="1"/>
    <x v="5"/>
    <x v="0"/>
    <x v="0"/>
    <n v="13"/>
    <x v="0"/>
    <x v="3"/>
  </r>
  <r>
    <n v="1413"/>
    <x v="15"/>
    <x v="0"/>
    <x v="6"/>
    <x v="0"/>
    <n v="100"/>
    <s v="Michigan"/>
    <x v="2"/>
    <x v="4"/>
    <x v="2"/>
    <x v="5"/>
    <x v="1"/>
    <x v="4"/>
    <x v="0"/>
    <x v="0"/>
    <n v="43"/>
    <x v="0"/>
    <x v="2"/>
  </r>
  <r>
    <n v="1414"/>
    <x v="47"/>
    <x v="0"/>
    <x v="0"/>
    <x v="0"/>
    <n v="79"/>
    <s v="New Hampshire"/>
    <x v="1"/>
    <x v="21"/>
    <x v="3"/>
    <x v="2"/>
    <x v="1"/>
    <x v="5"/>
    <x v="0"/>
    <x v="0"/>
    <n v="12"/>
    <x v="4"/>
    <x v="3"/>
  </r>
  <r>
    <n v="1415"/>
    <x v="26"/>
    <x v="0"/>
    <x v="20"/>
    <x v="0"/>
    <n v="51"/>
    <s v="Minnesota"/>
    <x v="2"/>
    <x v="13"/>
    <x v="2"/>
    <x v="9"/>
    <x v="1"/>
    <x v="5"/>
    <x v="0"/>
    <x v="0"/>
    <n v="3"/>
    <x v="2"/>
    <x v="4"/>
  </r>
  <r>
    <n v="1416"/>
    <x v="22"/>
    <x v="0"/>
    <x v="22"/>
    <x v="3"/>
    <n v="90"/>
    <s v="Illinois"/>
    <x v="2"/>
    <x v="24"/>
    <x v="0"/>
    <x v="18"/>
    <x v="1"/>
    <x v="1"/>
    <x v="0"/>
    <x v="0"/>
    <n v="12"/>
    <x v="2"/>
    <x v="6"/>
  </r>
  <r>
    <n v="1417"/>
    <x v="39"/>
    <x v="0"/>
    <x v="23"/>
    <x v="1"/>
    <n v="56"/>
    <s v="Idaho"/>
    <x v="0"/>
    <x v="5"/>
    <x v="2"/>
    <x v="23"/>
    <x v="1"/>
    <x v="1"/>
    <x v="0"/>
    <x v="0"/>
    <n v="46"/>
    <x v="1"/>
    <x v="3"/>
  </r>
  <r>
    <n v="1418"/>
    <x v="46"/>
    <x v="0"/>
    <x v="6"/>
    <x v="0"/>
    <n v="25"/>
    <s v="Montana"/>
    <x v="1"/>
    <x v="18"/>
    <x v="1"/>
    <x v="12"/>
    <x v="1"/>
    <x v="3"/>
    <x v="0"/>
    <x v="0"/>
    <n v="21"/>
    <x v="5"/>
    <x v="0"/>
  </r>
  <r>
    <n v="1419"/>
    <x v="20"/>
    <x v="0"/>
    <x v="5"/>
    <x v="0"/>
    <n v="75"/>
    <s v="Alabama"/>
    <x v="2"/>
    <x v="10"/>
    <x v="2"/>
    <x v="7"/>
    <x v="1"/>
    <x v="4"/>
    <x v="0"/>
    <x v="0"/>
    <n v="23"/>
    <x v="0"/>
    <x v="6"/>
  </r>
  <r>
    <n v="1420"/>
    <x v="49"/>
    <x v="0"/>
    <x v="8"/>
    <x v="3"/>
    <n v="75"/>
    <s v="Montana"/>
    <x v="2"/>
    <x v="20"/>
    <x v="2"/>
    <x v="5"/>
    <x v="1"/>
    <x v="1"/>
    <x v="0"/>
    <x v="0"/>
    <n v="4"/>
    <x v="5"/>
    <x v="3"/>
  </r>
  <r>
    <n v="1421"/>
    <x v="40"/>
    <x v="0"/>
    <x v="2"/>
    <x v="0"/>
    <n v="53"/>
    <s v="California"/>
    <x v="3"/>
    <x v="0"/>
    <x v="2"/>
    <x v="12"/>
    <x v="1"/>
    <x v="5"/>
    <x v="0"/>
    <x v="0"/>
    <n v="45"/>
    <x v="3"/>
    <x v="6"/>
  </r>
  <r>
    <n v="1422"/>
    <x v="33"/>
    <x v="0"/>
    <x v="10"/>
    <x v="0"/>
    <n v="100"/>
    <s v="Pennsylvania"/>
    <x v="1"/>
    <x v="9"/>
    <x v="1"/>
    <x v="21"/>
    <x v="1"/>
    <x v="3"/>
    <x v="0"/>
    <x v="0"/>
    <n v="24"/>
    <x v="4"/>
    <x v="0"/>
  </r>
  <r>
    <n v="1423"/>
    <x v="42"/>
    <x v="0"/>
    <x v="10"/>
    <x v="0"/>
    <n v="27"/>
    <s v="Texas"/>
    <x v="0"/>
    <x v="4"/>
    <x v="3"/>
    <x v="23"/>
    <x v="1"/>
    <x v="1"/>
    <x v="0"/>
    <x v="0"/>
    <n v="3"/>
    <x v="3"/>
    <x v="4"/>
  </r>
  <r>
    <n v="1424"/>
    <x v="47"/>
    <x v="0"/>
    <x v="3"/>
    <x v="1"/>
    <n v="60"/>
    <s v="Michigan"/>
    <x v="1"/>
    <x v="13"/>
    <x v="3"/>
    <x v="1"/>
    <x v="1"/>
    <x v="1"/>
    <x v="0"/>
    <x v="0"/>
    <n v="12"/>
    <x v="0"/>
    <x v="6"/>
  </r>
  <r>
    <n v="1425"/>
    <x v="17"/>
    <x v="0"/>
    <x v="14"/>
    <x v="2"/>
    <n v="23"/>
    <s v="Connecticut"/>
    <x v="1"/>
    <x v="21"/>
    <x v="3"/>
    <x v="1"/>
    <x v="1"/>
    <x v="3"/>
    <x v="0"/>
    <x v="0"/>
    <n v="34"/>
    <x v="4"/>
    <x v="6"/>
  </r>
  <r>
    <n v="1426"/>
    <x v="35"/>
    <x v="0"/>
    <x v="7"/>
    <x v="2"/>
    <n v="40"/>
    <s v="Wyoming"/>
    <x v="1"/>
    <x v="3"/>
    <x v="0"/>
    <x v="18"/>
    <x v="1"/>
    <x v="2"/>
    <x v="0"/>
    <x v="0"/>
    <n v="39"/>
    <x v="2"/>
    <x v="2"/>
  </r>
  <r>
    <n v="1427"/>
    <x v="52"/>
    <x v="0"/>
    <x v="13"/>
    <x v="0"/>
    <n v="38"/>
    <s v="Michigan"/>
    <x v="2"/>
    <x v="22"/>
    <x v="2"/>
    <x v="6"/>
    <x v="1"/>
    <x v="1"/>
    <x v="0"/>
    <x v="0"/>
    <n v="35"/>
    <x v="3"/>
    <x v="6"/>
  </r>
  <r>
    <n v="1428"/>
    <x v="18"/>
    <x v="0"/>
    <x v="21"/>
    <x v="3"/>
    <n v="90"/>
    <s v="South Dakota"/>
    <x v="1"/>
    <x v="20"/>
    <x v="2"/>
    <x v="8"/>
    <x v="1"/>
    <x v="5"/>
    <x v="0"/>
    <x v="0"/>
    <n v="8"/>
    <x v="2"/>
    <x v="2"/>
  </r>
  <r>
    <n v="1429"/>
    <x v="30"/>
    <x v="0"/>
    <x v="0"/>
    <x v="0"/>
    <n v="97"/>
    <s v="North Dakota"/>
    <x v="1"/>
    <x v="14"/>
    <x v="2"/>
    <x v="8"/>
    <x v="1"/>
    <x v="0"/>
    <x v="0"/>
    <x v="0"/>
    <n v="42"/>
    <x v="3"/>
    <x v="3"/>
  </r>
  <r>
    <n v="1430"/>
    <x v="41"/>
    <x v="0"/>
    <x v="11"/>
    <x v="0"/>
    <n v="38"/>
    <s v="Maryland"/>
    <x v="0"/>
    <x v="9"/>
    <x v="3"/>
    <x v="10"/>
    <x v="1"/>
    <x v="3"/>
    <x v="0"/>
    <x v="0"/>
    <n v="6"/>
    <x v="2"/>
    <x v="6"/>
  </r>
  <r>
    <n v="1431"/>
    <x v="39"/>
    <x v="0"/>
    <x v="3"/>
    <x v="1"/>
    <n v="30"/>
    <s v="Michigan"/>
    <x v="1"/>
    <x v="20"/>
    <x v="2"/>
    <x v="8"/>
    <x v="1"/>
    <x v="1"/>
    <x v="0"/>
    <x v="0"/>
    <n v="3"/>
    <x v="2"/>
    <x v="0"/>
  </r>
  <r>
    <n v="1432"/>
    <x v="31"/>
    <x v="0"/>
    <x v="13"/>
    <x v="0"/>
    <n v="88"/>
    <s v="South Dakota"/>
    <x v="2"/>
    <x v="17"/>
    <x v="3"/>
    <x v="3"/>
    <x v="1"/>
    <x v="0"/>
    <x v="0"/>
    <x v="0"/>
    <n v="29"/>
    <x v="0"/>
    <x v="3"/>
  </r>
  <r>
    <n v="1433"/>
    <x v="50"/>
    <x v="0"/>
    <x v="19"/>
    <x v="3"/>
    <n v="33"/>
    <s v="Florida"/>
    <x v="0"/>
    <x v="13"/>
    <x v="0"/>
    <x v="14"/>
    <x v="1"/>
    <x v="0"/>
    <x v="0"/>
    <x v="0"/>
    <n v="32"/>
    <x v="5"/>
    <x v="3"/>
  </r>
  <r>
    <n v="1434"/>
    <x v="27"/>
    <x v="0"/>
    <x v="15"/>
    <x v="0"/>
    <n v="60"/>
    <s v="Minnesota"/>
    <x v="0"/>
    <x v="22"/>
    <x v="0"/>
    <x v="4"/>
    <x v="1"/>
    <x v="2"/>
    <x v="0"/>
    <x v="0"/>
    <n v="45"/>
    <x v="5"/>
    <x v="1"/>
  </r>
  <r>
    <n v="1435"/>
    <x v="35"/>
    <x v="0"/>
    <x v="1"/>
    <x v="0"/>
    <n v="64"/>
    <s v="New York"/>
    <x v="0"/>
    <x v="1"/>
    <x v="2"/>
    <x v="12"/>
    <x v="1"/>
    <x v="1"/>
    <x v="0"/>
    <x v="0"/>
    <n v="21"/>
    <x v="5"/>
    <x v="4"/>
  </r>
  <r>
    <n v="1436"/>
    <x v="4"/>
    <x v="0"/>
    <x v="18"/>
    <x v="3"/>
    <n v="95"/>
    <s v="Oregon"/>
    <x v="3"/>
    <x v="13"/>
    <x v="3"/>
    <x v="17"/>
    <x v="1"/>
    <x v="3"/>
    <x v="0"/>
    <x v="0"/>
    <n v="41"/>
    <x v="1"/>
    <x v="1"/>
  </r>
  <r>
    <n v="1437"/>
    <x v="25"/>
    <x v="0"/>
    <x v="4"/>
    <x v="1"/>
    <n v="83"/>
    <s v="Minnesota"/>
    <x v="2"/>
    <x v="0"/>
    <x v="0"/>
    <x v="18"/>
    <x v="1"/>
    <x v="1"/>
    <x v="0"/>
    <x v="0"/>
    <n v="23"/>
    <x v="3"/>
    <x v="0"/>
  </r>
  <r>
    <n v="1438"/>
    <x v="28"/>
    <x v="0"/>
    <x v="23"/>
    <x v="1"/>
    <n v="97"/>
    <s v="Montana"/>
    <x v="3"/>
    <x v="20"/>
    <x v="0"/>
    <x v="19"/>
    <x v="1"/>
    <x v="1"/>
    <x v="0"/>
    <x v="0"/>
    <n v="14"/>
    <x v="1"/>
    <x v="2"/>
  </r>
  <r>
    <n v="1439"/>
    <x v="44"/>
    <x v="0"/>
    <x v="7"/>
    <x v="2"/>
    <n v="38"/>
    <s v="Washington"/>
    <x v="2"/>
    <x v="17"/>
    <x v="1"/>
    <x v="3"/>
    <x v="1"/>
    <x v="3"/>
    <x v="0"/>
    <x v="0"/>
    <n v="24"/>
    <x v="5"/>
    <x v="5"/>
  </r>
  <r>
    <n v="1440"/>
    <x v="15"/>
    <x v="0"/>
    <x v="23"/>
    <x v="1"/>
    <n v="48"/>
    <s v="New Mexico"/>
    <x v="2"/>
    <x v="23"/>
    <x v="2"/>
    <x v="6"/>
    <x v="1"/>
    <x v="2"/>
    <x v="0"/>
    <x v="0"/>
    <n v="25"/>
    <x v="1"/>
    <x v="0"/>
  </r>
  <r>
    <n v="1441"/>
    <x v="7"/>
    <x v="0"/>
    <x v="3"/>
    <x v="1"/>
    <n v="76"/>
    <s v="Arizona"/>
    <x v="2"/>
    <x v="6"/>
    <x v="1"/>
    <x v="14"/>
    <x v="1"/>
    <x v="3"/>
    <x v="0"/>
    <x v="0"/>
    <n v="13"/>
    <x v="0"/>
    <x v="5"/>
  </r>
  <r>
    <n v="1442"/>
    <x v="50"/>
    <x v="0"/>
    <x v="13"/>
    <x v="0"/>
    <n v="25"/>
    <s v="Nebraska"/>
    <x v="1"/>
    <x v="2"/>
    <x v="2"/>
    <x v="23"/>
    <x v="1"/>
    <x v="1"/>
    <x v="0"/>
    <x v="0"/>
    <n v="3"/>
    <x v="0"/>
    <x v="6"/>
  </r>
  <r>
    <n v="1443"/>
    <x v="10"/>
    <x v="0"/>
    <x v="15"/>
    <x v="0"/>
    <n v="92"/>
    <s v="Idaho"/>
    <x v="1"/>
    <x v="10"/>
    <x v="1"/>
    <x v="11"/>
    <x v="1"/>
    <x v="4"/>
    <x v="0"/>
    <x v="0"/>
    <n v="42"/>
    <x v="2"/>
    <x v="2"/>
  </r>
  <r>
    <n v="1444"/>
    <x v="44"/>
    <x v="0"/>
    <x v="3"/>
    <x v="1"/>
    <n v="47"/>
    <s v="Idaho"/>
    <x v="0"/>
    <x v="11"/>
    <x v="3"/>
    <x v="19"/>
    <x v="1"/>
    <x v="2"/>
    <x v="0"/>
    <x v="0"/>
    <n v="2"/>
    <x v="1"/>
    <x v="5"/>
  </r>
  <r>
    <n v="1445"/>
    <x v="45"/>
    <x v="0"/>
    <x v="1"/>
    <x v="0"/>
    <n v="36"/>
    <s v="Vermont"/>
    <x v="0"/>
    <x v="6"/>
    <x v="3"/>
    <x v="22"/>
    <x v="1"/>
    <x v="0"/>
    <x v="0"/>
    <x v="0"/>
    <n v="26"/>
    <x v="1"/>
    <x v="3"/>
  </r>
  <r>
    <n v="1446"/>
    <x v="14"/>
    <x v="0"/>
    <x v="22"/>
    <x v="3"/>
    <n v="51"/>
    <s v="Arkansas"/>
    <x v="2"/>
    <x v="9"/>
    <x v="3"/>
    <x v="0"/>
    <x v="1"/>
    <x v="4"/>
    <x v="0"/>
    <x v="0"/>
    <n v="24"/>
    <x v="2"/>
    <x v="2"/>
  </r>
  <r>
    <n v="1447"/>
    <x v="6"/>
    <x v="0"/>
    <x v="2"/>
    <x v="0"/>
    <n v="35"/>
    <s v="Wyoming"/>
    <x v="3"/>
    <x v="16"/>
    <x v="2"/>
    <x v="4"/>
    <x v="1"/>
    <x v="0"/>
    <x v="0"/>
    <x v="0"/>
    <n v="6"/>
    <x v="2"/>
    <x v="3"/>
  </r>
  <r>
    <n v="1448"/>
    <x v="51"/>
    <x v="0"/>
    <x v="15"/>
    <x v="0"/>
    <n v="57"/>
    <s v="New Mexico"/>
    <x v="1"/>
    <x v="19"/>
    <x v="2"/>
    <x v="21"/>
    <x v="1"/>
    <x v="2"/>
    <x v="0"/>
    <x v="0"/>
    <n v="25"/>
    <x v="3"/>
    <x v="5"/>
  </r>
  <r>
    <n v="1449"/>
    <x v="14"/>
    <x v="0"/>
    <x v="23"/>
    <x v="1"/>
    <n v="95"/>
    <s v="West Virginia"/>
    <x v="2"/>
    <x v="13"/>
    <x v="2"/>
    <x v="15"/>
    <x v="1"/>
    <x v="1"/>
    <x v="0"/>
    <x v="0"/>
    <n v="11"/>
    <x v="2"/>
    <x v="6"/>
  </r>
  <r>
    <n v="1450"/>
    <x v="20"/>
    <x v="0"/>
    <x v="20"/>
    <x v="0"/>
    <n v="41"/>
    <s v="New York"/>
    <x v="0"/>
    <x v="12"/>
    <x v="0"/>
    <x v="25"/>
    <x v="1"/>
    <x v="5"/>
    <x v="0"/>
    <x v="0"/>
    <n v="20"/>
    <x v="1"/>
    <x v="6"/>
  </r>
  <r>
    <n v="1451"/>
    <x v="15"/>
    <x v="0"/>
    <x v="10"/>
    <x v="0"/>
    <n v="44"/>
    <s v="Illinois"/>
    <x v="1"/>
    <x v="11"/>
    <x v="0"/>
    <x v="23"/>
    <x v="1"/>
    <x v="1"/>
    <x v="0"/>
    <x v="0"/>
    <n v="25"/>
    <x v="1"/>
    <x v="3"/>
  </r>
  <r>
    <n v="1452"/>
    <x v="22"/>
    <x v="0"/>
    <x v="14"/>
    <x v="2"/>
    <n v="34"/>
    <s v="Utah"/>
    <x v="2"/>
    <x v="1"/>
    <x v="3"/>
    <x v="25"/>
    <x v="1"/>
    <x v="2"/>
    <x v="0"/>
    <x v="0"/>
    <n v="35"/>
    <x v="3"/>
    <x v="3"/>
  </r>
  <r>
    <n v="1453"/>
    <x v="52"/>
    <x v="0"/>
    <x v="14"/>
    <x v="2"/>
    <n v="25"/>
    <s v="Colorado"/>
    <x v="0"/>
    <x v="24"/>
    <x v="1"/>
    <x v="10"/>
    <x v="1"/>
    <x v="4"/>
    <x v="0"/>
    <x v="0"/>
    <n v="11"/>
    <x v="4"/>
    <x v="3"/>
  </r>
  <r>
    <n v="1454"/>
    <x v="24"/>
    <x v="0"/>
    <x v="23"/>
    <x v="1"/>
    <n v="93"/>
    <s v="Virginia"/>
    <x v="1"/>
    <x v="11"/>
    <x v="0"/>
    <x v="4"/>
    <x v="1"/>
    <x v="4"/>
    <x v="0"/>
    <x v="0"/>
    <n v="41"/>
    <x v="4"/>
    <x v="0"/>
  </r>
  <r>
    <n v="1455"/>
    <x v="17"/>
    <x v="0"/>
    <x v="4"/>
    <x v="1"/>
    <n v="50"/>
    <s v="Georgia"/>
    <x v="0"/>
    <x v="1"/>
    <x v="0"/>
    <x v="3"/>
    <x v="1"/>
    <x v="1"/>
    <x v="0"/>
    <x v="0"/>
    <n v="17"/>
    <x v="2"/>
    <x v="2"/>
  </r>
  <r>
    <n v="1456"/>
    <x v="52"/>
    <x v="0"/>
    <x v="13"/>
    <x v="0"/>
    <n v="79"/>
    <s v="Alabama"/>
    <x v="0"/>
    <x v="5"/>
    <x v="3"/>
    <x v="8"/>
    <x v="1"/>
    <x v="0"/>
    <x v="0"/>
    <x v="0"/>
    <n v="1"/>
    <x v="3"/>
    <x v="6"/>
  </r>
  <r>
    <n v="1457"/>
    <x v="35"/>
    <x v="0"/>
    <x v="7"/>
    <x v="2"/>
    <n v="100"/>
    <s v="Montana"/>
    <x v="1"/>
    <x v="8"/>
    <x v="1"/>
    <x v="2"/>
    <x v="1"/>
    <x v="5"/>
    <x v="0"/>
    <x v="0"/>
    <n v="30"/>
    <x v="3"/>
    <x v="6"/>
  </r>
  <r>
    <n v="1458"/>
    <x v="44"/>
    <x v="0"/>
    <x v="5"/>
    <x v="0"/>
    <n v="57"/>
    <s v="Pennsylvania"/>
    <x v="1"/>
    <x v="0"/>
    <x v="1"/>
    <x v="10"/>
    <x v="1"/>
    <x v="0"/>
    <x v="0"/>
    <x v="0"/>
    <n v="47"/>
    <x v="0"/>
    <x v="0"/>
  </r>
  <r>
    <n v="1459"/>
    <x v="25"/>
    <x v="0"/>
    <x v="1"/>
    <x v="0"/>
    <n v="28"/>
    <s v="Missouri"/>
    <x v="2"/>
    <x v="15"/>
    <x v="1"/>
    <x v="3"/>
    <x v="1"/>
    <x v="4"/>
    <x v="0"/>
    <x v="0"/>
    <n v="34"/>
    <x v="0"/>
    <x v="1"/>
  </r>
  <r>
    <n v="1460"/>
    <x v="30"/>
    <x v="0"/>
    <x v="9"/>
    <x v="1"/>
    <n v="35"/>
    <s v="Maine"/>
    <x v="0"/>
    <x v="22"/>
    <x v="0"/>
    <x v="6"/>
    <x v="1"/>
    <x v="0"/>
    <x v="0"/>
    <x v="0"/>
    <n v="18"/>
    <x v="0"/>
    <x v="0"/>
  </r>
  <r>
    <n v="1461"/>
    <x v="27"/>
    <x v="0"/>
    <x v="23"/>
    <x v="1"/>
    <n v="85"/>
    <s v="Pennsylvania"/>
    <x v="0"/>
    <x v="10"/>
    <x v="3"/>
    <x v="12"/>
    <x v="1"/>
    <x v="3"/>
    <x v="0"/>
    <x v="0"/>
    <n v="33"/>
    <x v="0"/>
    <x v="4"/>
  </r>
  <r>
    <n v="1462"/>
    <x v="22"/>
    <x v="0"/>
    <x v="12"/>
    <x v="3"/>
    <n v="95"/>
    <s v="Oregon"/>
    <x v="1"/>
    <x v="16"/>
    <x v="2"/>
    <x v="16"/>
    <x v="1"/>
    <x v="4"/>
    <x v="0"/>
    <x v="0"/>
    <n v="42"/>
    <x v="0"/>
    <x v="3"/>
  </r>
  <r>
    <n v="1463"/>
    <x v="21"/>
    <x v="0"/>
    <x v="4"/>
    <x v="1"/>
    <n v="90"/>
    <s v="Utah"/>
    <x v="1"/>
    <x v="4"/>
    <x v="2"/>
    <x v="6"/>
    <x v="1"/>
    <x v="4"/>
    <x v="0"/>
    <x v="0"/>
    <n v="2"/>
    <x v="0"/>
    <x v="3"/>
  </r>
  <r>
    <n v="1464"/>
    <x v="22"/>
    <x v="0"/>
    <x v="16"/>
    <x v="3"/>
    <n v="49"/>
    <s v="Oklahoma"/>
    <x v="2"/>
    <x v="19"/>
    <x v="2"/>
    <x v="8"/>
    <x v="1"/>
    <x v="5"/>
    <x v="0"/>
    <x v="0"/>
    <n v="1"/>
    <x v="4"/>
    <x v="5"/>
  </r>
  <r>
    <n v="1465"/>
    <x v="23"/>
    <x v="0"/>
    <x v="22"/>
    <x v="3"/>
    <n v="92"/>
    <s v="Montana"/>
    <x v="2"/>
    <x v="15"/>
    <x v="0"/>
    <x v="12"/>
    <x v="1"/>
    <x v="4"/>
    <x v="0"/>
    <x v="0"/>
    <n v="23"/>
    <x v="4"/>
    <x v="3"/>
  </r>
  <r>
    <n v="1466"/>
    <x v="5"/>
    <x v="0"/>
    <x v="24"/>
    <x v="3"/>
    <n v="72"/>
    <s v="Nebraska"/>
    <x v="3"/>
    <x v="10"/>
    <x v="0"/>
    <x v="20"/>
    <x v="1"/>
    <x v="5"/>
    <x v="0"/>
    <x v="0"/>
    <n v="42"/>
    <x v="1"/>
    <x v="4"/>
  </r>
  <r>
    <n v="1467"/>
    <x v="44"/>
    <x v="0"/>
    <x v="6"/>
    <x v="0"/>
    <n v="71"/>
    <s v="Alabama"/>
    <x v="2"/>
    <x v="14"/>
    <x v="2"/>
    <x v="9"/>
    <x v="1"/>
    <x v="5"/>
    <x v="0"/>
    <x v="0"/>
    <n v="3"/>
    <x v="3"/>
    <x v="2"/>
  </r>
  <r>
    <n v="1468"/>
    <x v="11"/>
    <x v="0"/>
    <x v="16"/>
    <x v="3"/>
    <n v="27"/>
    <s v="Ohio"/>
    <x v="3"/>
    <x v="8"/>
    <x v="0"/>
    <x v="10"/>
    <x v="1"/>
    <x v="5"/>
    <x v="0"/>
    <x v="0"/>
    <n v="16"/>
    <x v="5"/>
    <x v="0"/>
  </r>
  <r>
    <n v="1469"/>
    <x v="32"/>
    <x v="0"/>
    <x v="24"/>
    <x v="3"/>
    <n v="39"/>
    <s v="Arkansas"/>
    <x v="1"/>
    <x v="5"/>
    <x v="3"/>
    <x v="20"/>
    <x v="1"/>
    <x v="0"/>
    <x v="0"/>
    <x v="0"/>
    <n v="46"/>
    <x v="1"/>
    <x v="0"/>
  </r>
  <r>
    <n v="1470"/>
    <x v="48"/>
    <x v="0"/>
    <x v="16"/>
    <x v="3"/>
    <n v="98"/>
    <s v="Mississippi"/>
    <x v="2"/>
    <x v="7"/>
    <x v="0"/>
    <x v="14"/>
    <x v="1"/>
    <x v="3"/>
    <x v="0"/>
    <x v="0"/>
    <n v="31"/>
    <x v="3"/>
    <x v="6"/>
  </r>
  <r>
    <n v="1471"/>
    <x v="49"/>
    <x v="0"/>
    <x v="3"/>
    <x v="1"/>
    <n v="27"/>
    <s v="California"/>
    <x v="2"/>
    <x v="5"/>
    <x v="1"/>
    <x v="20"/>
    <x v="1"/>
    <x v="2"/>
    <x v="0"/>
    <x v="0"/>
    <n v="15"/>
    <x v="1"/>
    <x v="6"/>
  </r>
  <r>
    <n v="1472"/>
    <x v="18"/>
    <x v="0"/>
    <x v="16"/>
    <x v="3"/>
    <n v="71"/>
    <s v="Alaska"/>
    <x v="1"/>
    <x v="0"/>
    <x v="1"/>
    <x v="11"/>
    <x v="1"/>
    <x v="4"/>
    <x v="0"/>
    <x v="0"/>
    <n v="48"/>
    <x v="0"/>
    <x v="6"/>
  </r>
  <r>
    <n v="1473"/>
    <x v="31"/>
    <x v="0"/>
    <x v="19"/>
    <x v="3"/>
    <n v="24"/>
    <s v="Indiana"/>
    <x v="0"/>
    <x v="2"/>
    <x v="1"/>
    <x v="1"/>
    <x v="1"/>
    <x v="5"/>
    <x v="0"/>
    <x v="0"/>
    <n v="11"/>
    <x v="1"/>
    <x v="1"/>
  </r>
  <r>
    <n v="1474"/>
    <x v="28"/>
    <x v="0"/>
    <x v="6"/>
    <x v="0"/>
    <n v="63"/>
    <s v="Wisconsin"/>
    <x v="2"/>
    <x v="10"/>
    <x v="3"/>
    <x v="24"/>
    <x v="1"/>
    <x v="0"/>
    <x v="0"/>
    <x v="0"/>
    <n v="20"/>
    <x v="2"/>
    <x v="6"/>
  </r>
  <r>
    <n v="1475"/>
    <x v="18"/>
    <x v="0"/>
    <x v="1"/>
    <x v="0"/>
    <n v="72"/>
    <s v="New Jersey"/>
    <x v="1"/>
    <x v="6"/>
    <x v="3"/>
    <x v="20"/>
    <x v="1"/>
    <x v="2"/>
    <x v="0"/>
    <x v="0"/>
    <n v="6"/>
    <x v="2"/>
    <x v="5"/>
  </r>
  <r>
    <n v="1476"/>
    <x v="42"/>
    <x v="0"/>
    <x v="0"/>
    <x v="0"/>
    <n v="61"/>
    <s v="Rhode Island"/>
    <x v="2"/>
    <x v="11"/>
    <x v="1"/>
    <x v="17"/>
    <x v="1"/>
    <x v="0"/>
    <x v="0"/>
    <x v="0"/>
    <n v="24"/>
    <x v="1"/>
    <x v="5"/>
  </r>
  <r>
    <n v="1477"/>
    <x v="31"/>
    <x v="0"/>
    <x v="19"/>
    <x v="3"/>
    <n v="56"/>
    <s v="Wyoming"/>
    <x v="2"/>
    <x v="23"/>
    <x v="3"/>
    <x v="7"/>
    <x v="1"/>
    <x v="2"/>
    <x v="0"/>
    <x v="0"/>
    <n v="18"/>
    <x v="2"/>
    <x v="5"/>
  </r>
  <r>
    <n v="1478"/>
    <x v="41"/>
    <x v="0"/>
    <x v="22"/>
    <x v="3"/>
    <n v="32"/>
    <s v="Oregon"/>
    <x v="3"/>
    <x v="5"/>
    <x v="2"/>
    <x v="24"/>
    <x v="1"/>
    <x v="3"/>
    <x v="0"/>
    <x v="0"/>
    <n v="1"/>
    <x v="3"/>
    <x v="6"/>
  </r>
  <r>
    <n v="1479"/>
    <x v="48"/>
    <x v="0"/>
    <x v="24"/>
    <x v="3"/>
    <n v="23"/>
    <s v="Washington"/>
    <x v="2"/>
    <x v="24"/>
    <x v="2"/>
    <x v="19"/>
    <x v="1"/>
    <x v="1"/>
    <x v="0"/>
    <x v="0"/>
    <n v="13"/>
    <x v="0"/>
    <x v="4"/>
  </r>
  <r>
    <n v="1480"/>
    <x v="39"/>
    <x v="0"/>
    <x v="7"/>
    <x v="2"/>
    <n v="100"/>
    <s v="Washington"/>
    <x v="0"/>
    <x v="13"/>
    <x v="1"/>
    <x v="17"/>
    <x v="1"/>
    <x v="3"/>
    <x v="0"/>
    <x v="0"/>
    <n v="2"/>
    <x v="4"/>
    <x v="1"/>
  </r>
  <r>
    <n v="1481"/>
    <x v="31"/>
    <x v="0"/>
    <x v="16"/>
    <x v="3"/>
    <n v="74"/>
    <s v="New Hampshire"/>
    <x v="2"/>
    <x v="9"/>
    <x v="3"/>
    <x v="15"/>
    <x v="1"/>
    <x v="0"/>
    <x v="0"/>
    <x v="0"/>
    <n v="26"/>
    <x v="1"/>
    <x v="3"/>
  </r>
  <r>
    <n v="1482"/>
    <x v="14"/>
    <x v="0"/>
    <x v="11"/>
    <x v="0"/>
    <n v="33"/>
    <s v="Maryland"/>
    <x v="1"/>
    <x v="0"/>
    <x v="1"/>
    <x v="13"/>
    <x v="1"/>
    <x v="3"/>
    <x v="0"/>
    <x v="0"/>
    <n v="31"/>
    <x v="3"/>
    <x v="3"/>
  </r>
  <r>
    <n v="1483"/>
    <x v="48"/>
    <x v="0"/>
    <x v="24"/>
    <x v="3"/>
    <n v="67"/>
    <s v="Wisconsin"/>
    <x v="1"/>
    <x v="23"/>
    <x v="1"/>
    <x v="7"/>
    <x v="1"/>
    <x v="4"/>
    <x v="0"/>
    <x v="0"/>
    <n v="43"/>
    <x v="4"/>
    <x v="1"/>
  </r>
  <r>
    <n v="1484"/>
    <x v="31"/>
    <x v="0"/>
    <x v="16"/>
    <x v="3"/>
    <n v="61"/>
    <s v="Massachusetts"/>
    <x v="1"/>
    <x v="22"/>
    <x v="2"/>
    <x v="10"/>
    <x v="1"/>
    <x v="2"/>
    <x v="0"/>
    <x v="0"/>
    <n v="12"/>
    <x v="5"/>
    <x v="4"/>
  </r>
  <r>
    <n v="1485"/>
    <x v="34"/>
    <x v="0"/>
    <x v="6"/>
    <x v="0"/>
    <n v="46"/>
    <s v="Nebraska"/>
    <x v="2"/>
    <x v="11"/>
    <x v="2"/>
    <x v="14"/>
    <x v="1"/>
    <x v="5"/>
    <x v="0"/>
    <x v="0"/>
    <n v="22"/>
    <x v="0"/>
    <x v="6"/>
  </r>
  <r>
    <n v="1486"/>
    <x v="40"/>
    <x v="0"/>
    <x v="24"/>
    <x v="3"/>
    <n v="56"/>
    <s v="Nebraska"/>
    <x v="0"/>
    <x v="16"/>
    <x v="1"/>
    <x v="23"/>
    <x v="1"/>
    <x v="3"/>
    <x v="0"/>
    <x v="0"/>
    <n v="3"/>
    <x v="1"/>
    <x v="0"/>
  </r>
  <r>
    <n v="1487"/>
    <x v="15"/>
    <x v="0"/>
    <x v="4"/>
    <x v="1"/>
    <n v="73"/>
    <s v="Idaho"/>
    <x v="1"/>
    <x v="22"/>
    <x v="1"/>
    <x v="16"/>
    <x v="1"/>
    <x v="1"/>
    <x v="0"/>
    <x v="0"/>
    <n v="23"/>
    <x v="0"/>
    <x v="6"/>
  </r>
  <r>
    <n v="1488"/>
    <x v="37"/>
    <x v="0"/>
    <x v="11"/>
    <x v="0"/>
    <n v="44"/>
    <s v="Arizona"/>
    <x v="0"/>
    <x v="13"/>
    <x v="2"/>
    <x v="12"/>
    <x v="1"/>
    <x v="5"/>
    <x v="0"/>
    <x v="0"/>
    <n v="26"/>
    <x v="3"/>
    <x v="2"/>
  </r>
  <r>
    <n v="1489"/>
    <x v="51"/>
    <x v="0"/>
    <x v="19"/>
    <x v="3"/>
    <n v="44"/>
    <s v="Hawaii"/>
    <x v="0"/>
    <x v="6"/>
    <x v="0"/>
    <x v="17"/>
    <x v="1"/>
    <x v="3"/>
    <x v="0"/>
    <x v="0"/>
    <n v="37"/>
    <x v="2"/>
    <x v="1"/>
  </r>
  <r>
    <n v="1490"/>
    <x v="41"/>
    <x v="0"/>
    <x v="16"/>
    <x v="3"/>
    <n v="26"/>
    <s v="Missouri"/>
    <x v="3"/>
    <x v="23"/>
    <x v="2"/>
    <x v="7"/>
    <x v="1"/>
    <x v="2"/>
    <x v="0"/>
    <x v="0"/>
    <n v="42"/>
    <x v="0"/>
    <x v="3"/>
  </r>
  <r>
    <n v="1491"/>
    <x v="17"/>
    <x v="0"/>
    <x v="4"/>
    <x v="1"/>
    <n v="52"/>
    <s v="Louisiana"/>
    <x v="0"/>
    <x v="8"/>
    <x v="1"/>
    <x v="8"/>
    <x v="1"/>
    <x v="0"/>
    <x v="0"/>
    <x v="0"/>
    <n v="15"/>
    <x v="0"/>
    <x v="4"/>
  </r>
  <r>
    <n v="1492"/>
    <x v="7"/>
    <x v="0"/>
    <x v="5"/>
    <x v="0"/>
    <n v="54"/>
    <s v="Arkansas"/>
    <x v="1"/>
    <x v="13"/>
    <x v="2"/>
    <x v="2"/>
    <x v="1"/>
    <x v="1"/>
    <x v="0"/>
    <x v="0"/>
    <n v="10"/>
    <x v="4"/>
    <x v="3"/>
  </r>
  <r>
    <n v="1493"/>
    <x v="46"/>
    <x v="0"/>
    <x v="14"/>
    <x v="2"/>
    <n v="38"/>
    <s v="North Carolina"/>
    <x v="2"/>
    <x v="1"/>
    <x v="2"/>
    <x v="9"/>
    <x v="1"/>
    <x v="1"/>
    <x v="0"/>
    <x v="0"/>
    <n v="3"/>
    <x v="0"/>
    <x v="3"/>
  </r>
  <r>
    <n v="1494"/>
    <x v="27"/>
    <x v="0"/>
    <x v="22"/>
    <x v="3"/>
    <n v="44"/>
    <s v="North Dakota"/>
    <x v="1"/>
    <x v="9"/>
    <x v="3"/>
    <x v="2"/>
    <x v="1"/>
    <x v="3"/>
    <x v="0"/>
    <x v="0"/>
    <n v="44"/>
    <x v="2"/>
    <x v="3"/>
  </r>
  <r>
    <n v="1495"/>
    <x v="49"/>
    <x v="0"/>
    <x v="17"/>
    <x v="0"/>
    <n v="76"/>
    <s v="Montana"/>
    <x v="2"/>
    <x v="0"/>
    <x v="1"/>
    <x v="21"/>
    <x v="1"/>
    <x v="2"/>
    <x v="0"/>
    <x v="0"/>
    <n v="23"/>
    <x v="4"/>
    <x v="0"/>
  </r>
  <r>
    <n v="1496"/>
    <x v="4"/>
    <x v="0"/>
    <x v="16"/>
    <x v="3"/>
    <n v="23"/>
    <s v="Rhode Island"/>
    <x v="2"/>
    <x v="18"/>
    <x v="0"/>
    <x v="9"/>
    <x v="1"/>
    <x v="2"/>
    <x v="0"/>
    <x v="0"/>
    <n v="6"/>
    <x v="3"/>
    <x v="1"/>
  </r>
  <r>
    <n v="1497"/>
    <x v="6"/>
    <x v="0"/>
    <x v="17"/>
    <x v="0"/>
    <n v="98"/>
    <s v="Idaho"/>
    <x v="2"/>
    <x v="7"/>
    <x v="0"/>
    <x v="16"/>
    <x v="1"/>
    <x v="3"/>
    <x v="0"/>
    <x v="0"/>
    <n v="9"/>
    <x v="0"/>
    <x v="4"/>
  </r>
  <r>
    <n v="1498"/>
    <x v="28"/>
    <x v="0"/>
    <x v="14"/>
    <x v="2"/>
    <n v="33"/>
    <s v="Michigan"/>
    <x v="1"/>
    <x v="23"/>
    <x v="1"/>
    <x v="22"/>
    <x v="1"/>
    <x v="4"/>
    <x v="0"/>
    <x v="0"/>
    <n v="16"/>
    <x v="5"/>
    <x v="6"/>
  </r>
  <r>
    <n v="1499"/>
    <x v="35"/>
    <x v="0"/>
    <x v="1"/>
    <x v="0"/>
    <n v="32"/>
    <s v="Illinois"/>
    <x v="2"/>
    <x v="11"/>
    <x v="2"/>
    <x v="0"/>
    <x v="1"/>
    <x v="3"/>
    <x v="0"/>
    <x v="0"/>
    <n v="46"/>
    <x v="0"/>
    <x v="0"/>
  </r>
  <r>
    <n v="1500"/>
    <x v="1"/>
    <x v="0"/>
    <x v="23"/>
    <x v="1"/>
    <n v="85"/>
    <s v="Georgia"/>
    <x v="1"/>
    <x v="8"/>
    <x v="3"/>
    <x v="23"/>
    <x v="1"/>
    <x v="1"/>
    <x v="0"/>
    <x v="0"/>
    <n v="24"/>
    <x v="2"/>
    <x v="6"/>
  </r>
  <r>
    <n v="1501"/>
    <x v="6"/>
    <x v="0"/>
    <x v="2"/>
    <x v="0"/>
    <n v="69"/>
    <s v="Alabama"/>
    <x v="0"/>
    <x v="1"/>
    <x v="2"/>
    <x v="6"/>
    <x v="1"/>
    <x v="2"/>
    <x v="0"/>
    <x v="0"/>
    <n v="22"/>
    <x v="5"/>
    <x v="5"/>
  </r>
  <r>
    <n v="1502"/>
    <x v="43"/>
    <x v="0"/>
    <x v="2"/>
    <x v="0"/>
    <n v="55"/>
    <s v="Alaska"/>
    <x v="3"/>
    <x v="5"/>
    <x v="1"/>
    <x v="2"/>
    <x v="1"/>
    <x v="3"/>
    <x v="0"/>
    <x v="0"/>
    <n v="13"/>
    <x v="5"/>
    <x v="6"/>
  </r>
  <r>
    <n v="1503"/>
    <x v="43"/>
    <x v="0"/>
    <x v="13"/>
    <x v="0"/>
    <n v="66"/>
    <s v="Massachusetts"/>
    <x v="2"/>
    <x v="13"/>
    <x v="2"/>
    <x v="4"/>
    <x v="1"/>
    <x v="5"/>
    <x v="0"/>
    <x v="0"/>
    <n v="20"/>
    <x v="1"/>
    <x v="0"/>
  </r>
  <r>
    <n v="1504"/>
    <x v="2"/>
    <x v="0"/>
    <x v="14"/>
    <x v="2"/>
    <n v="30"/>
    <s v="Michigan"/>
    <x v="2"/>
    <x v="1"/>
    <x v="3"/>
    <x v="20"/>
    <x v="1"/>
    <x v="4"/>
    <x v="0"/>
    <x v="0"/>
    <n v="46"/>
    <x v="1"/>
    <x v="3"/>
  </r>
  <r>
    <n v="1505"/>
    <x v="52"/>
    <x v="0"/>
    <x v="14"/>
    <x v="2"/>
    <n v="80"/>
    <s v="Alaska"/>
    <x v="2"/>
    <x v="11"/>
    <x v="0"/>
    <x v="19"/>
    <x v="1"/>
    <x v="2"/>
    <x v="0"/>
    <x v="0"/>
    <n v="10"/>
    <x v="4"/>
    <x v="5"/>
  </r>
  <r>
    <n v="1506"/>
    <x v="5"/>
    <x v="0"/>
    <x v="22"/>
    <x v="3"/>
    <n v="20"/>
    <s v="North Dakota"/>
    <x v="2"/>
    <x v="11"/>
    <x v="2"/>
    <x v="21"/>
    <x v="1"/>
    <x v="0"/>
    <x v="0"/>
    <x v="0"/>
    <n v="39"/>
    <x v="1"/>
    <x v="5"/>
  </r>
  <r>
    <n v="1507"/>
    <x v="25"/>
    <x v="0"/>
    <x v="5"/>
    <x v="0"/>
    <n v="30"/>
    <s v="South Carolina"/>
    <x v="0"/>
    <x v="19"/>
    <x v="3"/>
    <x v="21"/>
    <x v="1"/>
    <x v="4"/>
    <x v="0"/>
    <x v="0"/>
    <n v="44"/>
    <x v="3"/>
    <x v="3"/>
  </r>
  <r>
    <n v="1508"/>
    <x v="17"/>
    <x v="0"/>
    <x v="10"/>
    <x v="0"/>
    <n v="86"/>
    <s v="Pennsylvania"/>
    <x v="1"/>
    <x v="1"/>
    <x v="0"/>
    <x v="18"/>
    <x v="1"/>
    <x v="4"/>
    <x v="0"/>
    <x v="0"/>
    <n v="7"/>
    <x v="0"/>
    <x v="2"/>
  </r>
  <r>
    <n v="1509"/>
    <x v="25"/>
    <x v="0"/>
    <x v="0"/>
    <x v="0"/>
    <n v="84"/>
    <s v="Colorado"/>
    <x v="0"/>
    <x v="19"/>
    <x v="1"/>
    <x v="14"/>
    <x v="1"/>
    <x v="5"/>
    <x v="0"/>
    <x v="0"/>
    <n v="3"/>
    <x v="1"/>
    <x v="6"/>
  </r>
  <r>
    <n v="1510"/>
    <x v="30"/>
    <x v="0"/>
    <x v="10"/>
    <x v="0"/>
    <n v="54"/>
    <s v="New Hampshire"/>
    <x v="3"/>
    <x v="3"/>
    <x v="2"/>
    <x v="12"/>
    <x v="1"/>
    <x v="1"/>
    <x v="0"/>
    <x v="0"/>
    <n v="44"/>
    <x v="5"/>
    <x v="2"/>
  </r>
  <r>
    <n v="1511"/>
    <x v="0"/>
    <x v="0"/>
    <x v="0"/>
    <x v="0"/>
    <n v="30"/>
    <s v="Maryland"/>
    <x v="3"/>
    <x v="0"/>
    <x v="3"/>
    <x v="21"/>
    <x v="1"/>
    <x v="1"/>
    <x v="0"/>
    <x v="0"/>
    <n v="31"/>
    <x v="0"/>
    <x v="2"/>
  </r>
  <r>
    <n v="1512"/>
    <x v="50"/>
    <x v="0"/>
    <x v="10"/>
    <x v="0"/>
    <n v="91"/>
    <s v="Georgia"/>
    <x v="2"/>
    <x v="10"/>
    <x v="0"/>
    <x v="15"/>
    <x v="1"/>
    <x v="0"/>
    <x v="0"/>
    <x v="0"/>
    <n v="48"/>
    <x v="2"/>
    <x v="1"/>
  </r>
  <r>
    <n v="1513"/>
    <x v="52"/>
    <x v="0"/>
    <x v="4"/>
    <x v="1"/>
    <n v="23"/>
    <s v="Wisconsin"/>
    <x v="0"/>
    <x v="5"/>
    <x v="0"/>
    <x v="20"/>
    <x v="1"/>
    <x v="3"/>
    <x v="0"/>
    <x v="0"/>
    <n v="18"/>
    <x v="3"/>
    <x v="4"/>
  </r>
  <r>
    <n v="1514"/>
    <x v="40"/>
    <x v="0"/>
    <x v="20"/>
    <x v="0"/>
    <n v="35"/>
    <s v="Texas"/>
    <x v="2"/>
    <x v="16"/>
    <x v="1"/>
    <x v="7"/>
    <x v="1"/>
    <x v="1"/>
    <x v="0"/>
    <x v="0"/>
    <n v="27"/>
    <x v="1"/>
    <x v="5"/>
  </r>
  <r>
    <n v="1515"/>
    <x v="8"/>
    <x v="0"/>
    <x v="9"/>
    <x v="1"/>
    <n v="90"/>
    <s v="Utah"/>
    <x v="0"/>
    <x v="18"/>
    <x v="0"/>
    <x v="20"/>
    <x v="1"/>
    <x v="4"/>
    <x v="0"/>
    <x v="0"/>
    <n v="1"/>
    <x v="0"/>
    <x v="1"/>
  </r>
  <r>
    <n v="1516"/>
    <x v="31"/>
    <x v="0"/>
    <x v="2"/>
    <x v="0"/>
    <n v="93"/>
    <s v="Indiana"/>
    <x v="1"/>
    <x v="2"/>
    <x v="3"/>
    <x v="20"/>
    <x v="1"/>
    <x v="4"/>
    <x v="0"/>
    <x v="0"/>
    <n v="34"/>
    <x v="1"/>
    <x v="1"/>
  </r>
  <r>
    <n v="1517"/>
    <x v="30"/>
    <x v="0"/>
    <x v="2"/>
    <x v="0"/>
    <n v="68"/>
    <s v="Nevada"/>
    <x v="0"/>
    <x v="21"/>
    <x v="0"/>
    <x v="9"/>
    <x v="1"/>
    <x v="0"/>
    <x v="0"/>
    <x v="0"/>
    <n v="5"/>
    <x v="4"/>
    <x v="4"/>
  </r>
  <r>
    <n v="1518"/>
    <x v="9"/>
    <x v="0"/>
    <x v="24"/>
    <x v="3"/>
    <n v="41"/>
    <s v="New Hampshire"/>
    <x v="2"/>
    <x v="10"/>
    <x v="1"/>
    <x v="23"/>
    <x v="1"/>
    <x v="3"/>
    <x v="0"/>
    <x v="0"/>
    <n v="12"/>
    <x v="1"/>
    <x v="3"/>
  </r>
  <r>
    <n v="1519"/>
    <x v="33"/>
    <x v="0"/>
    <x v="22"/>
    <x v="3"/>
    <n v="73"/>
    <s v="New York"/>
    <x v="2"/>
    <x v="22"/>
    <x v="0"/>
    <x v="7"/>
    <x v="1"/>
    <x v="2"/>
    <x v="0"/>
    <x v="0"/>
    <n v="14"/>
    <x v="0"/>
    <x v="0"/>
  </r>
  <r>
    <n v="1520"/>
    <x v="2"/>
    <x v="0"/>
    <x v="12"/>
    <x v="3"/>
    <n v="73"/>
    <s v="Texas"/>
    <x v="0"/>
    <x v="17"/>
    <x v="3"/>
    <x v="8"/>
    <x v="1"/>
    <x v="2"/>
    <x v="0"/>
    <x v="0"/>
    <n v="40"/>
    <x v="3"/>
    <x v="1"/>
  </r>
  <r>
    <n v="1521"/>
    <x v="3"/>
    <x v="0"/>
    <x v="19"/>
    <x v="3"/>
    <n v="66"/>
    <s v="Iowa"/>
    <x v="2"/>
    <x v="18"/>
    <x v="2"/>
    <x v="14"/>
    <x v="1"/>
    <x v="4"/>
    <x v="0"/>
    <x v="0"/>
    <n v="39"/>
    <x v="1"/>
    <x v="3"/>
  </r>
  <r>
    <n v="1522"/>
    <x v="26"/>
    <x v="0"/>
    <x v="21"/>
    <x v="3"/>
    <n v="59"/>
    <s v="Washington"/>
    <x v="2"/>
    <x v="3"/>
    <x v="2"/>
    <x v="2"/>
    <x v="1"/>
    <x v="4"/>
    <x v="0"/>
    <x v="0"/>
    <n v="50"/>
    <x v="4"/>
    <x v="1"/>
  </r>
  <r>
    <n v="1523"/>
    <x v="21"/>
    <x v="0"/>
    <x v="6"/>
    <x v="0"/>
    <n v="72"/>
    <s v="Tennessee"/>
    <x v="0"/>
    <x v="22"/>
    <x v="1"/>
    <x v="6"/>
    <x v="1"/>
    <x v="1"/>
    <x v="0"/>
    <x v="0"/>
    <n v="5"/>
    <x v="5"/>
    <x v="5"/>
  </r>
  <r>
    <n v="1524"/>
    <x v="22"/>
    <x v="0"/>
    <x v="20"/>
    <x v="0"/>
    <n v="88"/>
    <s v="Georgia"/>
    <x v="2"/>
    <x v="3"/>
    <x v="2"/>
    <x v="13"/>
    <x v="1"/>
    <x v="4"/>
    <x v="0"/>
    <x v="0"/>
    <n v="35"/>
    <x v="5"/>
    <x v="2"/>
  </r>
  <r>
    <n v="1525"/>
    <x v="40"/>
    <x v="0"/>
    <x v="20"/>
    <x v="0"/>
    <n v="76"/>
    <s v="Massachusetts"/>
    <x v="0"/>
    <x v="6"/>
    <x v="2"/>
    <x v="14"/>
    <x v="1"/>
    <x v="1"/>
    <x v="0"/>
    <x v="0"/>
    <n v="6"/>
    <x v="1"/>
    <x v="4"/>
  </r>
  <r>
    <n v="1526"/>
    <x v="26"/>
    <x v="0"/>
    <x v="22"/>
    <x v="3"/>
    <n v="31"/>
    <s v="Oregon"/>
    <x v="2"/>
    <x v="21"/>
    <x v="0"/>
    <x v="12"/>
    <x v="1"/>
    <x v="4"/>
    <x v="0"/>
    <x v="0"/>
    <n v="22"/>
    <x v="1"/>
    <x v="0"/>
  </r>
  <r>
    <n v="1527"/>
    <x v="38"/>
    <x v="0"/>
    <x v="14"/>
    <x v="2"/>
    <n v="22"/>
    <s v="Oklahoma"/>
    <x v="0"/>
    <x v="3"/>
    <x v="2"/>
    <x v="0"/>
    <x v="1"/>
    <x v="2"/>
    <x v="0"/>
    <x v="0"/>
    <n v="27"/>
    <x v="3"/>
    <x v="5"/>
  </r>
  <r>
    <n v="1528"/>
    <x v="8"/>
    <x v="0"/>
    <x v="19"/>
    <x v="3"/>
    <n v="75"/>
    <s v="Wisconsin"/>
    <x v="0"/>
    <x v="16"/>
    <x v="3"/>
    <x v="9"/>
    <x v="1"/>
    <x v="4"/>
    <x v="0"/>
    <x v="0"/>
    <n v="33"/>
    <x v="5"/>
    <x v="0"/>
  </r>
  <r>
    <n v="1529"/>
    <x v="28"/>
    <x v="0"/>
    <x v="17"/>
    <x v="0"/>
    <n v="75"/>
    <s v="Oregon"/>
    <x v="1"/>
    <x v="16"/>
    <x v="1"/>
    <x v="17"/>
    <x v="1"/>
    <x v="5"/>
    <x v="0"/>
    <x v="0"/>
    <n v="47"/>
    <x v="0"/>
    <x v="4"/>
  </r>
  <r>
    <n v="1530"/>
    <x v="30"/>
    <x v="0"/>
    <x v="21"/>
    <x v="3"/>
    <n v="63"/>
    <s v="Georgia"/>
    <x v="2"/>
    <x v="12"/>
    <x v="0"/>
    <x v="0"/>
    <x v="1"/>
    <x v="1"/>
    <x v="0"/>
    <x v="0"/>
    <n v="48"/>
    <x v="2"/>
    <x v="4"/>
  </r>
  <r>
    <n v="1531"/>
    <x v="35"/>
    <x v="0"/>
    <x v="7"/>
    <x v="2"/>
    <n v="21"/>
    <s v="New Mexico"/>
    <x v="2"/>
    <x v="11"/>
    <x v="1"/>
    <x v="20"/>
    <x v="1"/>
    <x v="2"/>
    <x v="0"/>
    <x v="0"/>
    <n v="22"/>
    <x v="4"/>
    <x v="3"/>
  </r>
  <r>
    <n v="1532"/>
    <x v="6"/>
    <x v="0"/>
    <x v="21"/>
    <x v="3"/>
    <n v="83"/>
    <s v="Mississippi"/>
    <x v="1"/>
    <x v="10"/>
    <x v="1"/>
    <x v="9"/>
    <x v="1"/>
    <x v="2"/>
    <x v="0"/>
    <x v="0"/>
    <n v="8"/>
    <x v="3"/>
    <x v="4"/>
  </r>
  <r>
    <n v="1533"/>
    <x v="33"/>
    <x v="0"/>
    <x v="14"/>
    <x v="2"/>
    <n v="46"/>
    <s v="Wisconsin"/>
    <x v="1"/>
    <x v="5"/>
    <x v="0"/>
    <x v="14"/>
    <x v="1"/>
    <x v="2"/>
    <x v="0"/>
    <x v="0"/>
    <n v="5"/>
    <x v="3"/>
    <x v="6"/>
  </r>
  <r>
    <n v="1534"/>
    <x v="2"/>
    <x v="0"/>
    <x v="9"/>
    <x v="1"/>
    <n v="59"/>
    <s v="New Hampshire"/>
    <x v="2"/>
    <x v="9"/>
    <x v="2"/>
    <x v="15"/>
    <x v="1"/>
    <x v="4"/>
    <x v="0"/>
    <x v="0"/>
    <n v="16"/>
    <x v="4"/>
    <x v="3"/>
  </r>
  <r>
    <n v="1535"/>
    <x v="0"/>
    <x v="0"/>
    <x v="0"/>
    <x v="0"/>
    <n v="66"/>
    <s v="Wyoming"/>
    <x v="2"/>
    <x v="14"/>
    <x v="2"/>
    <x v="23"/>
    <x v="1"/>
    <x v="1"/>
    <x v="0"/>
    <x v="0"/>
    <n v="26"/>
    <x v="0"/>
    <x v="0"/>
  </r>
  <r>
    <n v="1536"/>
    <x v="24"/>
    <x v="0"/>
    <x v="3"/>
    <x v="1"/>
    <n v="74"/>
    <s v="West Virginia"/>
    <x v="1"/>
    <x v="2"/>
    <x v="3"/>
    <x v="17"/>
    <x v="1"/>
    <x v="4"/>
    <x v="0"/>
    <x v="0"/>
    <n v="8"/>
    <x v="0"/>
    <x v="5"/>
  </r>
  <r>
    <n v="1537"/>
    <x v="20"/>
    <x v="0"/>
    <x v="12"/>
    <x v="3"/>
    <n v="82"/>
    <s v="Michigan"/>
    <x v="2"/>
    <x v="21"/>
    <x v="2"/>
    <x v="5"/>
    <x v="1"/>
    <x v="5"/>
    <x v="0"/>
    <x v="0"/>
    <n v="17"/>
    <x v="1"/>
    <x v="3"/>
  </r>
  <r>
    <n v="1538"/>
    <x v="33"/>
    <x v="0"/>
    <x v="9"/>
    <x v="1"/>
    <n v="89"/>
    <s v="Alaska"/>
    <x v="0"/>
    <x v="13"/>
    <x v="1"/>
    <x v="4"/>
    <x v="1"/>
    <x v="2"/>
    <x v="0"/>
    <x v="0"/>
    <n v="50"/>
    <x v="0"/>
    <x v="2"/>
  </r>
  <r>
    <n v="1539"/>
    <x v="19"/>
    <x v="0"/>
    <x v="10"/>
    <x v="0"/>
    <n v="65"/>
    <s v="Illinois"/>
    <x v="0"/>
    <x v="4"/>
    <x v="3"/>
    <x v="4"/>
    <x v="1"/>
    <x v="3"/>
    <x v="0"/>
    <x v="0"/>
    <n v="22"/>
    <x v="0"/>
    <x v="4"/>
  </r>
  <r>
    <n v="1540"/>
    <x v="45"/>
    <x v="0"/>
    <x v="22"/>
    <x v="3"/>
    <n v="55"/>
    <s v="Hawaii"/>
    <x v="2"/>
    <x v="2"/>
    <x v="1"/>
    <x v="16"/>
    <x v="1"/>
    <x v="4"/>
    <x v="0"/>
    <x v="0"/>
    <n v="19"/>
    <x v="1"/>
    <x v="6"/>
  </r>
  <r>
    <n v="1541"/>
    <x v="48"/>
    <x v="0"/>
    <x v="6"/>
    <x v="0"/>
    <n v="95"/>
    <s v="Colorado"/>
    <x v="2"/>
    <x v="16"/>
    <x v="0"/>
    <x v="3"/>
    <x v="1"/>
    <x v="2"/>
    <x v="0"/>
    <x v="0"/>
    <n v="14"/>
    <x v="4"/>
    <x v="5"/>
  </r>
  <r>
    <n v="1542"/>
    <x v="41"/>
    <x v="0"/>
    <x v="8"/>
    <x v="3"/>
    <n v="77"/>
    <s v="Illinois"/>
    <x v="1"/>
    <x v="21"/>
    <x v="0"/>
    <x v="3"/>
    <x v="1"/>
    <x v="5"/>
    <x v="0"/>
    <x v="0"/>
    <n v="35"/>
    <x v="1"/>
    <x v="4"/>
  </r>
  <r>
    <n v="1543"/>
    <x v="35"/>
    <x v="0"/>
    <x v="0"/>
    <x v="0"/>
    <n v="44"/>
    <s v="Hawaii"/>
    <x v="2"/>
    <x v="1"/>
    <x v="0"/>
    <x v="1"/>
    <x v="1"/>
    <x v="2"/>
    <x v="0"/>
    <x v="0"/>
    <n v="43"/>
    <x v="3"/>
    <x v="1"/>
  </r>
  <r>
    <n v="1544"/>
    <x v="19"/>
    <x v="0"/>
    <x v="2"/>
    <x v="0"/>
    <n v="89"/>
    <s v="Wisconsin"/>
    <x v="2"/>
    <x v="21"/>
    <x v="3"/>
    <x v="17"/>
    <x v="1"/>
    <x v="3"/>
    <x v="0"/>
    <x v="0"/>
    <n v="24"/>
    <x v="0"/>
    <x v="2"/>
  </r>
  <r>
    <n v="1545"/>
    <x v="11"/>
    <x v="0"/>
    <x v="16"/>
    <x v="3"/>
    <n v="24"/>
    <s v="Arkansas"/>
    <x v="2"/>
    <x v="1"/>
    <x v="1"/>
    <x v="20"/>
    <x v="1"/>
    <x v="3"/>
    <x v="0"/>
    <x v="0"/>
    <n v="17"/>
    <x v="5"/>
    <x v="4"/>
  </r>
  <r>
    <n v="1546"/>
    <x v="39"/>
    <x v="0"/>
    <x v="22"/>
    <x v="3"/>
    <n v="43"/>
    <s v="Delaware"/>
    <x v="2"/>
    <x v="13"/>
    <x v="0"/>
    <x v="8"/>
    <x v="1"/>
    <x v="5"/>
    <x v="0"/>
    <x v="0"/>
    <n v="49"/>
    <x v="4"/>
    <x v="2"/>
  </r>
  <r>
    <n v="1547"/>
    <x v="52"/>
    <x v="0"/>
    <x v="4"/>
    <x v="1"/>
    <n v="51"/>
    <s v="Oregon"/>
    <x v="3"/>
    <x v="7"/>
    <x v="2"/>
    <x v="22"/>
    <x v="1"/>
    <x v="0"/>
    <x v="0"/>
    <x v="0"/>
    <n v="17"/>
    <x v="4"/>
    <x v="2"/>
  </r>
  <r>
    <n v="1548"/>
    <x v="5"/>
    <x v="0"/>
    <x v="19"/>
    <x v="3"/>
    <n v="46"/>
    <s v="South Carolina"/>
    <x v="0"/>
    <x v="11"/>
    <x v="2"/>
    <x v="1"/>
    <x v="1"/>
    <x v="3"/>
    <x v="0"/>
    <x v="0"/>
    <n v="40"/>
    <x v="1"/>
    <x v="3"/>
  </r>
  <r>
    <n v="1549"/>
    <x v="28"/>
    <x v="0"/>
    <x v="10"/>
    <x v="0"/>
    <n v="32"/>
    <s v="Maryland"/>
    <x v="2"/>
    <x v="5"/>
    <x v="2"/>
    <x v="18"/>
    <x v="1"/>
    <x v="5"/>
    <x v="0"/>
    <x v="0"/>
    <n v="43"/>
    <x v="4"/>
    <x v="1"/>
  </r>
  <r>
    <n v="1550"/>
    <x v="1"/>
    <x v="0"/>
    <x v="4"/>
    <x v="1"/>
    <n v="55"/>
    <s v="Kansas"/>
    <x v="2"/>
    <x v="13"/>
    <x v="1"/>
    <x v="3"/>
    <x v="1"/>
    <x v="4"/>
    <x v="0"/>
    <x v="0"/>
    <n v="19"/>
    <x v="5"/>
    <x v="6"/>
  </r>
  <r>
    <n v="1551"/>
    <x v="17"/>
    <x v="0"/>
    <x v="12"/>
    <x v="3"/>
    <n v="26"/>
    <s v="Arkansas"/>
    <x v="1"/>
    <x v="13"/>
    <x v="2"/>
    <x v="11"/>
    <x v="1"/>
    <x v="1"/>
    <x v="0"/>
    <x v="0"/>
    <n v="40"/>
    <x v="4"/>
    <x v="3"/>
  </r>
  <r>
    <n v="1552"/>
    <x v="14"/>
    <x v="0"/>
    <x v="8"/>
    <x v="3"/>
    <n v="29"/>
    <s v="Minnesota"/>
    <x v="2"/>
    <x v="8"/>
    <x v="2"/>
    <x v="18"/>
    <x v="1"/>
    <x v="4"/>
    <x v="0"/>
    <x v="0"/>
    <n v="13"/>
    <x v="2"/>
    <x v="5"/>
  </r>
  <r>
    <n v="1553"/>
    <x v="22"/>
    <x v="0"/>
    <x v="0"/>
    <x v="0"/>
    <n v="49"/>
    <s v="New Mexico"/>
    <x v="0"/>
    <x v="7"/>
    <x v="1"/>
    <x v="21"/>
    <x v="1"/>
    <x v="0"/>
    <x v="0"/>
    <x v="0"/>
    <n v="20"/>
    <x v="2"/>
    <x v="5"/>
  </r>
  <r>
    <n v="1554"/>
    <x v="7"/>
    <x v="0"/>
    <x v="0"/>
    <x v="0"/>
    <n v="45"/>
    <s v="Delaware"/>
    <x v="2"/>
    <x v="21"/>
    <x v="1"/>
    <x v="6"/>
    <x v="1"/>
    <x v="1"/>
    <x v="0"/>
    <x v="0"/>
    <n v="21"/>
    <x v="5"/>
    <x v="3"/>
  </r>
  <r>
    <n v="1555"/>
    <x v="14"/>
    <x v="0"/>
    <x v="6"/>
    <x v="0"/>
    <n v="48"/>
    <s v="Utah"/>
    <x v="1"/>
    <x v="12"/>
    <x v="0"/>
    <x v="2"/>
    <x v="1"/>
    <x v="3"/>
    <x v="0"/>
    <x v="0"/>
    <n v="18"/>
    <x v="1"/>
    <x v="4"/>
  </r>
  <r>
    <n v="1556"/>
    <x v="49"/>
    <x v="0"/>
    <x v="6"/>
    <x v="0"/>
    <n v="47"/>
    <s v="Ohio"/>
    <x v="1"/>
    <x v="17"/>
    <x v="0"/>
    <x v="9"/>
    <x v="1"/>
    <x v="1"/>
    <x v="0"/>
    <x v="0"/>
    <n v="44"/>
    <x v="1"/>
    <x v="3"/>
  </r>
  <r>
    <n v="1557"/>
    <x v="49"/>
    <x v="0"/>
    <x v="15"/>
    <x v="0"/>
    <n v="57"/>
    <s v="Alabama"/>
    <x v="2"/>
    <x v="9"/>
    <x v="3"/>
    <x v="2"/>
    <x v="1"/>
    <x v="3"/>
    <x v="0"/>
    <x v="0"/>
    <n v="26"/>
    <x v="2"/>
    <x v="3"/>
  </r>
  <r>
    <n v="1558"/>
    <x v="7"/>
    <x v="0"/>
    <x v="21"/>
    <x v="3"/>
    <n v="34"/>
    <s v="South Dakota"/>
    <x v="0"/>
    <x v="23"/>
    <x v="3"/>
    <x v="1"/>
    <x v="1"/>
    <x v="2"/>
    <x v="0"/>
    <x v="0"/>
    <n v="34"/>
    <x v="3"/>
    <x v="3"/>
  </r>
  <r>
    <n v="1559"/>
    <x v="25"/>
    <x v="0"/>
    <x v="12"/>
    <x v="3"/>
    <n v="75"/>
    <s v="New Mexico"/>
    <x v="3"/>
    <x v="11"/>
    <x v="3"/>
    <x v="1"/>
    <x v="1"/>
    <x v="0"/>
    <x v="0"/>
    <x v="0"/>
    <n v="24"/>
    <x v="2"/>
    <x v="6"/>
  </r>
  <r>
    <n v="1560"/>
    <x v="49"/>
    <x v="0"/>
    <x v="18"/>
    <x v="3"/>
    <n v="94"/>
    <s v="Oregon"/>
    <x v="0"/>
    <x v="19"/>
    <x v="3"/>
    <x v="9"/>
    <x v="1"/>
    <x v="5"/>
    <x v="0"/>
    <x v="0"/>
    <n v="23"/>
    <x v="3"/>
    <x v="0"/>
  </r>
  <r>
    <n v="1561"/>
    <x v="9"/>
    <x v="0"/>
    <x v="19"/>
    <x v="3"/>
    <n v="84"/>
    <s v="Oregon"/>
    <x v="2"/>
    <x v="11"/>
    <x v="0"/>
    <x v="22"/>
    <x v="1"/>
    <x v="1"/>
    <x v="0"/>
    <x v="0"/>
    <n v="3"/>
    <x v="5"/>
    <x v="1"/>
  </r>
  <r>
    <n v="1562"/>
    <x v="2"/>
    <x v="0"/>
    <x v="18"/>
    <x v="3"/>
    <n v="38"/>
    <s v="Mississippi"/>
    <x v="2"/>
    <x v="21"/>
    <x v="2"/>
    <x v="22"/>
    <x v="1"/>
    <x v="3"/>
    <x v="0"/>
    <x v="0"/>
    <n v="2"/>
    <x v="4"/>
    <x v="3"/>
  </r>
  <r>
    <n v="1563"/>
    <x v="43"/>
    <x v="0"/>
    <x v="18"/>
    <x v="3"/>
    <n v="75"/>
    <s v="Alabama"/>
    <x v="2"/>
    <x v="7"/>
    <x v="0"/>
    <x v="4"/>
    <x v="1"/>
    <x v="2"/>
    <x v="0"/>
    <x v="0"/>
    <n v="23"/>
    <x v="0"/>
    <x v="4"/>
  </r>
  <r>
    <n v="1564"/>
    <x v="33"/>
    <x v="0"/>
    <x v="13"/>
    <x v="0"/>
    <n v="44"/>
    <s v="Kansas"/>
    <x v="2"/>
    <x v="11"/>
    <x v="3"/>
    <x v="24"/>
    <x v="1"/>
    <x v="2"/>
    <x v="0"/>
    <x v="0"/>
    <n v="8"/>
    <x v="1"/>
    <x v="1"/>
  </r>
  <r>
    <n v="1565"/>
    <x v="40"/>
    <x v="0"/>
    <x v="21"/>
    <x v="3"/>
    <n v="33"/>
    <s v="California"/>
    <x v="3"/>
    <x v="2"/>
    <x v="2"/>
    <x v="9"/>
    <x v="1"/>
    <x v="2"/>
    <x v="0"/>
    <x v="0"/>
    <n v="30"/>
    <x v="5"/>
    <x v="6"/>
  </r>
  <r>
    <n v="1566"/>
    <x v="44"/>
    <x v="0"/>
    <x v="12"/>
    <x v="3"/>
    <n v="93"/>
    <s v="Idaho"/>
    <x v="0"/>
    <x v="15"/>
    <x v="3"/>
    <x v="19"/>
    <x v="1"/>
    <x v="1"/>
    <x v="0"/>
    <x v="0"/>
    <n v="48"/>
    <x v="3"/>
    <x v="2"/>
  </r>
  <r>
    <n v="1567"/>
    <x v="39"/>
    <x v="0"/>
    <x v="4"/>
    <x v="1"/>
    <n v="99"/>
    <s v="Wyoming"/>
    <x v="1"/>
    <x v="14"/>
    <x v="0"/>
    <x v="21"/>
    <x v="1"/>
    <x v="1"/>
    <x v="0"/>
    <x v="0"/>
    <n v="21"/>
    <x v="1"/>
    <x v="4"/>
  </r>
  <r>
    <n v="1568"/>
    <x v="11"/>
    <x v="0"/>
    <x v="21"/>
    <x v="3"/>
    <n v="33"/>
    <s v="Minnesota"/>
    <x v="2"/>
    <x v="2"/>
    <x v="1"/>
    <x v="7"/>
    <x v="1"/>
    <x v="3"/>
    <x v="0"/>
    <x v="0"/>
    <n v="9"/>
    <x v="1"/>
    <x v="5"/>
  </r>
  <r>
    <n v="1569"/>
    <x v="47"/>
    <x v="0"/>
    <x v="4"/>
    <x v="1"/>
    <n v="76"/>
    <s v="Washington"/>
    <x v="0"/>
    <x v="22"/>
    <x v="1"/>
    <x v="12"/>
    <x v="1"/>
    <x v="5"/>
    <x v="0"/>
    <x v="0"/>
    <n v="8"/>
    <x v="5"/>
    <x v="5"/>
  </r>
  <r>
    <n v="1570"/>
    <x v="30"/>
    <x v="0"/>
    <x v="11"/>
    <x v="0"/>
    <n v="63"/>
    <s v="Hawaii"/>
    <x v="2"/>
    <x v="20"/>
    <x v="2"/>
    <x v="3"/>
    <x v="1"/>
    <x v="3"/>
    <x v="0"/>
    <x v="0"/>
    <n v="29"/>
    <x v="5"/>
    <x v="1"/>
  </r>
  <r>
    <n v="1571"/>
    <x v="11"/>
    <x v="0"/>
    <x v="13"/>
    <x v="0"/>
    <n v="41"/>
    <s v="Missouri"/>
    <x v="0"/>
    <x v="18"/>
    <x v="0"/>
    <x v="6"/>
    <x v="1"/>
    <x v="2"/>
    <x v="0"/>
    <x v="0"/>
    <n v="3"/>
    <x v="4"/>
    <x v="6"/>
  </r>
  <r>
    <n v="1572"/>
    <x v="48"/>
    <x v="0"/>
    <x v="16"/>
    <x v="3"/>
    <n v="88"/>
    <s v="Colorado"/>
    <x v="0"/>
    <x v="5"/>
    <x v="0"/>
    <x v="9"/>
    <x v="1"/>
    <x v="2"/>
    <x v="0"/>
    <x v="0"/>
    <n v="11"/>
    <x v="4"/>
    <x v="0"/>
  </r>
  <r>
    <n v="1573"/>
    <x v="43"/>
    <x v="0"/>
    <x v="11"/>
    <x v="0"/>
    <n v="92"/>
    <s v="Washington"/>
    <x v="0"/>
    <x v="3"/>
    <x v="2"/>
    <x v="23"/>
    <x v="1"/>
    <x v="4"/>
    <x v="0"/>
    <x v="0"/>
    <n v="16"/>
    <x v="5"/>
    <x v="5"/>
  </r>
  <r>
    <n v="1574"/>
    <x v="24"/>
    <x v="0"/>
    <x v="17"/>
    <x v="0"/>
    <n v="31"/>
    <s v="North Dakota"/>
    <x v="0"/>
    <x v="21"/>
    <x v="2"/>
    <x v="24"/>
    <x v="1"/>
    <x v="4"/>
    <x v="0"/>
    <x v="0"/>
    <n v="25"/>
    <x v="5"/>
    <x v="1"/>
  </r>
  <r>
    <n v="1575"/>
    <x v="20"/>
    <x v="0"/>
    <x v="11"/>
    <x v="0"/>
    <n v="25"/>
    <s v="Minnesota"/>
    <x v="1"/>
    <x v="23"/>
    <x v="1"/>
    <x v="19"/>
    <x v="1"/>
    <x v="1"/>
    <x v="0"/>
    <x v="0"/>
    <n v="32"/>
    <x v="3"/>
    <x v="4"/>
  </r>
  <r>
    <n v="1576"/>
    <x v="16"/>
    <x v="0"/>
    <x v="5"/>
    <x v="0"/>
    <n v="28"/>
    <s v="California"/>
    <x v="2"/>
    <x v="2"/>
    <x v="1"/>
    <x v="15"/>
    <x v="1"/>
    <x v="2"/>
    <x v="0"/>
    <x v="0"/>
    <n v="28"/>
    <x v="1"/>
    <x v="0"/>
  </r>
  <r>
    <n v="1577"/>
    <x v="19"/>
    <x v="0"/>
    <x v="10"/>
    <x v="0"/>
    <n v="75"/>
    <s v="Michigan"/>
    <x v="2"/>
    <x v="3"/>
    <x v="1"/>
    <x v="18"/>
    <x v="1"/>
    <x v="4"/>
    <x v="0"/>
    <x v="0"/>
    <n v="36"/>
    <x v="3"/>
    <x v="5"/>
  </r>
  <r>
    <n v="1578"/>
    <x v="33"/>
    <x v="0"/>
    <x v="23"/>
    <x v="1"/>
    <n v="34"/>
    <s v="Delaware"/>
    <x v="1"/>
    <x v="8"/>
    <x v="1"/>
    <x v="17"/>
    <x v="1"/>
    <x v="3"/>
    <x v="0"/>
    <x v="0"/>
    <n v="7"/>
    <x v="0"/>
    <x v="0"/>
  </r>
  <r>
    <n v="1579"/>
    <x v="46"/>
    <x v="0"/>
    <x v="13"/>
    <x v="0"/>
    <n v="97"/>
    <s v="California"/>
    <x v="1"/>
    <x v="1"/>
    <x v="0"/>
    <x v="8"/>
    <x v="1"/>
    <x v="4"/>
    <x v="0"/>
    <x v="0"/>
    <n v="2"/>
    <x v="3"/>
    <x v="3"/>
  </r>
  <r>
    <n v="1580"/>
    <x v="25"/>
    <x v="0"/>
    <x v="14"/>
    <x v="2"/>
    <n v="80"/>
    <s v="Oklahoma"/>
    <x v="2"/>
    <x v="10"/>
    <x v="2"/>
    <x v="0"/>
    <x v="1"/>
    <x v="1"/>
    <x v="0"/>
    <x v="0"/>
    <n v="6"/>
    <x v="4"/>
    <x v="5"/>
  </r>
  <r>
    <n v="1581"/>
    <x v="13"/>
    <x v="0"/>
    <x v="4"/>
    <x v="1"/>
    <n v="71"/>
    <s v="North Dakota"/>
    <x v="0"/>
    <x v="17"/>
    <x v="2"/>
    <x v="18"/>
    <x v="1"/>
    <x v="3"/>
    <x v="0"/>
    <x v="0"/>
    <n v="30"/>
    <x v="1"/>
    <x v="2"/>
  </r>
  <r>
    <n v="1582"/>
    <x v="28"/>
    <x v="0"/>
    <x v="16"/>
    <x v="3"/>
    <n v="77"/>
    <s v="Ohio"/>
    <x v="0"/>
    <x v="11"/>
    <x v="3"/>
    <x v="19"/>
    <x v="1"/>
    <x v="1"/>
    <x v="0"/>
    <x v="0"/>
    <n v="46"/>
    <x v="1"/>
    <x v="3"/>
  </r>
  <r>
    <n v="1583"/>
    <x v="48"/>
    <x v="0"/>
    <x v="22"/>
    <x v="3"/>
    <n v="41"/>
    <s v="Hawaii"/>
    <x v="0"/>
    <x v="16"/>
    <x v="1"/>
    <x v="25"/>
    <x v="1"/>
    <x v="2"/>
    <x v="0"/>
    <x v="0"/>
    <n v="39"/>
    <x v="1"/>
    <x v="5"/>
  </r>
  <r>
    <n v="1584"/>
    <x v="43"/>
    <x v="0"/>
    <x v="18"/>
    <x v="3"/>
    <n v="92"/>
    <s v="Maryland"/>
    <x v="3"/>
    <x v="22"/>
    <x v="2"/>
    <x v="24"/>
    <x v="1"/>
    <x v="2"/>
    <x v="0"/>
    <x v="0"/>
    <n v="8"/>
    <x v="0"/>
    <x v="2"/>
  </r>
  <r>
    <n v="1585"/>
    <x v="38"/>
    <x v="0"/>
    <x v="0"/>
    <x v="0"/>
    <n v="95"/>
    <s v="Hawaii"/>
    <x v="1"/>
    <x v="5"/>
    <x v="1"/>
    <x v="0"/>
    <x v="1"/>
    <x v="5"/>
    <x v="0"/>
    <x v="0"/>
    <n v="46"/>
    <x v="2"/>
    <x v="3"/>
  </r>
  <r>
    <n v="1586"/>
    <x v="43"/>
    <x v="0"/>
    <x v="1"/>
    <x v="0"/>
    <n v="25"/>
    <s v="Alabama"/>
    <x v="2"/>
    <x v="4"/>
    <x v="3"/>
    <x v="21"/>
    <x v="1"/>
    <x v="2"/>
    <x v="0"/>
    <x v="0"/>
    <n v="40"/>
    <x v="5"/>
    <x v="0"/>
  </r>
  <r>
    <n v="1587"/>
    <x v="15"/>
    <x v="0"/>
    <x v="23"/>
    <x v="1"/>
    <n v="77"/>
    <s v="Oklahoma"/>
    <x v="2"/>
    <x v="7"/>
    <x v="3"/>
    <x v="17"/>
    <x v="1"/>
    <x v="0"/>
    <x v="0"/>
    <x v="0"/>
    <n v="21"/>
    <x v="4"/>
    <x v="1"/>
  </r>
  <r>
    <n v="1588"/>
    <x v="38"/>
    <x v="0"/>
    <x v="20"/>
    <x v="0"/>
    <n v="99"/>
    <s v="Alabama"/>
    <x v="2"/>
    <x v="19"/>
    <x v="2"/>
    <x v="1"/>
    <x v="1"/>
    <x v="1"/>
    <x v="0"/>
    <x v="0"/>
    <n v="33"/>
    <x v="2"/>
    <x v="0"/>
  </r>
  <r>
    <n v="1589"/>
    <x v="39"/>
    <x v="0"/>
    <x v="22"/>
    <x v="3"/>
    <n v="24"/>
    <s v="Vermont"/>
    <x v="0"/>
    <x v="17"/>
    <x v="0"/>
    <x v="4"/>
    <x v="1"/>
    <x v="2"/>
    <x v="0"/>
    <x v="0"/>
    <n v="3"/>
    <x v="0"/>
    <x v="5"/>
  </r>
  <r>
    <n v="1590"/>
    <x v="32"/>
    <x v="0"/>
    <x v="4"/>
    <x v="1"/>
    <n v="72"/>
    <s v="Ohio"/>
    <x v="2"/>
    <x v="5"/>
    <x v="2"/>
    <x v="2"/>
    <x v="1"/>
    <x v="5"/>
    <x v="0"/>
    <x v="0"/>
    <n v="48"/>
    <x v="1"/>
    <x v="1"/>
  </r>
  <r>
    <n v="1591"/>
    <x v="22"/>
    <x v="0"/>
    <x v="2"/>
    <x v="0"/>
    <n v="80"/>
    <s v="Wisconsin"/>
    <x v="1"/>
    <x v="6"/>
    <x v="0"/>
    <x v="21"/>
    <x v="1"/>
    <x v="1"/>
    <x v="0"/>
    <x v="0"/>
    <n v="8"/>
    <x v="3"/>
    <x v="2"/>
  </r>
  <r>
    <n v="1592"/>
    <x v="20"/>
    <x v="0"/>
    <x v="11"/>
    <x v="0"/>
    <n v="100"/>
    <s v="South Dakota"/>
    <x v="0"/>
    <x v="9"/>
    <x v="0"/>
    <x v="3"/>
    <x v="1"/>
    <x v="2"/>
    <x v="0"/>
    <x v="0"/>
    <n v="24"/>
    <x v="3"/>
    <x v="2"/>
  </r>
  <r>
    <n v="1593"/>
    <x v="19"/>
    <x v="0"/>
    <x v="9"/>
    <x v="1"/>
    <n v="83"/>
    <s v="Iowa"/>
    <x v="2"/>
    <x v="17"/>
    <x v="2"/>
    <x v="13"/>
    <x v="1"/>
    <x v="1"/>
    <x v="0"/>
    <x v="0"/>
    <n v="10"/>
    <x v="4"/>
    <x v="6"/>
  </r>
  <r>
    <n v="1594"/>
    <x v="12"/>
    <x v="0"/>
    <x v="10"/>
    <x v="0"/>
    <n v="95"/>
    <s v="Maryland"/>
    <x v="2"/>
    <x v="13"/>
    <x v="1"/>
    <x v="8"/>
    <x v="1"/>
    <x v="4"/>
    <x v="0"/>
    <x v="0"/>
    <n v="25"/>
    <x v="4"/>
    <x v="5"/>
  </r>
  <r>
    <n v="1595"/>
    <x v="37"/>
    <x v="0"/>
    <x v="8"/>
    <x v="3"/>
    <n v="41"/>
    <s v="Colorado"/>
    <x v="3"/>
    <x v="4"/>
    <x v="2"/>
    <x v="18"/>
    <x v="1"/>
    <x v="5"/>
    <x v="0"/>
    <x v="0"/>
    <n v="3"/>
    <x v="1"/>
    <x v="0"/>
  </r>
  <r>
    <n v="1596"/>
    <x v="50"/>
    <x v="0"/>
    <x v="21"/>
    <x v="3"/>
    <n v="35"/>
    <s v="Wisconsin"/>
    <x v="1"/>
    <x v="23"/>
    <x v="1"/>
    <x v="1"/>
    <x v="1"/>
    <x v="3"/>
    <x v="0"/>
    <x v="0"/>
    <n v="45"/>
    <x v="5"/>
    <x v="0"/>
  </r>
  <r>
    <n v="1597"/>
    <x v="32"/>
    <x v="0"/>
    <x v="16"/>
    <x v="3"/>
    <n v="30"/>
    <s v="Mississippi"/>
    <x v="1"/>
    <x v="6"/>
    <x v="3"/>
    <x v="10"/>
    <x v="1"/>
    <x v="5"/>
    <x v="0"/>
    <x v="0"/>
    <n v="15"/>
    <x v="5"/>
    <x v="5"/>
  </r>
  <r>
    <n v="1598"/>
    <x v="49"/>
    <x v="0"/>
    <x v="19"/>
    <x v="3"/>
    <n v="21"/>
    <s v="Mississippi"/>
    <x v="3"/>
    <x v="1"/>
    <x v="0"/>
    <x v="5"/>
    <x v="1"/>
    <x v="5"/>
    <x v="0"/>
    <x v="0"/>
    <n v="34"/>
    <x v="4"/>
    <x v="3"/>
  </r>
  <r>
    <n v="1599"/>
    <x v="36"/>
    <x v="0"/>
    <x v="16"/>
    <x v="3"/>
    <n v="85"/>
    <s v="California"/>
    <x v="2"/>
    <x v="11"/>
    <x v="3"/>
    <x v="7"/>
    <x v="1"/>
    <x v="0"/>
    <x v="0"/>
    <x v="0"/>
    <n v="21"/>
    <x v="0"/>
    <x v="4"/>
  </r>
  <r>
    <n v="1600"/>
    <x v="39"/>
    <x v="0"/>
    <x v="5"/>
    <x v="0"/>
    <n v="54"/>
    <s v="Delaware"/>
    <x v="2"/>
    <x v="20"/>
    <x v="0"/>
    <x v="11"/>
    <x v="1"/>
    <x v="4"/>
    <x v="0"/>
    <x v="0"/>
    <n v="22"/>
    <x v="5"/>
    <x v="4"/>
  </r>
  <r>
    <n v="1601"/>
    <x v="30"/>
    <x v="0"/>
    <x v="23"/>
    <x v="1"/>
    <n v="26"/>
    <s v="Montana"/>
    <x v="1"/>
    <x v="22"/>
    <x v="1"/>
    <x v="10"/>
    <x v="1"/>
    <x v="2"/>
    <x v="0"/>
    <x v="0"/>
    <n v="24"/>
    <x v="3"/>
    <x v="1"/>
  </r>
  <r>
    <n v="1602"/>
    <x v="13"/>
    <x v="0"/>
    <x v="5"/>
    <x v="0"/>
    <n v="59"/>
    <s v="Indiana"/>
    <x v="3"/>
    <x v="16"/>
    <x v="1"/>
    <x v="3"/>
    <x v="1"/>
    <x v="5"/>
    <x v="0"/>
    <x v="0"/>
    <n v="33"/>
    <x v="2"/>
    <x v="5"/>
  </r>
  <r>
    <n v="1603"/>
    <x v="22"/>
    <x v="0"/>
    <x v="12"/>
    <x v="3"/>
    <n v="48"/>
    <s v="West Virginia"/>
    <x v="1"/>
    <x v="4"/>
    <x v="0"/>
    <x v="11"/>
    <x v="1"/>
    <x v="1"/>
    <x v="0"/>
    <x v="0"/>
    <n v="13"/>
    <x v="0"/>
    <x v="0"/>
  </r>
  <r>
    <n v="1604"/>
    <x v="51"/>
    <x v="0"/>
    <x v="6"/>
    <x v="0"/>
    <n v="98"/>
    <s v="Iowa"/>
    <x v="0"/>
    <x v="13"/>
    <x v="2"/>
    <x v="24"/>
    <x v="1"/>
    <x v="2"/>
    <x v="0"/>
    <x v="0"/>
    <n v="17"/>
    <x v="5"/>
    <x v="4"/>
  </r>
  <r>
    <n v="1605"/>
    <x v="20"/>
    <x v="0"/>
    <x v="1"/>
    <x v="0"/>
    <n v="92"/>
    <s v="Maine"/>
    <x v="2"/>
    <x v="3"/>
    <x v="2"/>
    <x v="6"/>
    <x v="1"/>
    <x v="4"/>
    <x v="0"/>
    <x v="0"/>
    <n v="25"/>
    <x v="2"/>
    <x v="6"/>
  </r>
  <r>
    <n v="1606"/>
    <x v="27"/>
    <x v="0"/>
    <x v="22"/>
    <x v="3"/>
    <n v="46"/>
    <s v="Connecticut"/>
    <x v="2"/>
    <x v="12"/>
    <x v="0"/>
    <x v="23"/>
    <x v="1"/>
    <x v="2"/>
    <x v="0"/>
    <x v="0"/>
    <n v="15"/>
    <x v="2"/>
    <x v="4"/>
  </r>
  <r>
    <n v="1607"/>
    <x v="0"/>
    <x v="0"/>
    <x v="17"/>
    <x v="0"/>
    <n v="21"/>
    <s v="Kansas"/>
    <x v="1"/>
    <x v="3"/>
    <x v="1"/>
    <x v="24"/>
    <x v="1"/>
    <x v="3"/>
    <x v="0"/>
    <x v="0"/>
    <n v="4"/>
    <x v="3"/>
    <x v="0"/>
  </r>
  <r>
    <n v="1608"/>
    <x v="34"/>
    <x v="0"/>
    <x v="6"/>
    <x v="0"/>
    <n v="72"/>
    <s v="Vermont"/>
    <x v="1"/>
    <x v="0"/>
    <x v="3"/>
    <x v="2"/>
    <x v="1"/>
    <x v="1"/>
    <x v="0"/>
    <x v="0"/>
    <n v="43"/>
    <x v="5"/>
    <x v="3"/>
  </r>
  <r>
    <n v="1609"/>
    <x v="8"/>
    <x v="0"/>
    <x v="3"/>
    <x v="1"/>
    <n v="58"/>
    <s v="Nebraska"/>
    <x v="3"/>
    <x v="17"/>
    <x v="3"/>
    <x v="12"/>
    <x v="1"/>
    <x v="2"/>
    <x v="0"/>
    <x v="0"/>
    <n v="12"/>
    <x v="4"/>
    <x v="4"/>
  </r>
  <r>
    <n v="1610"/>
    <x v="23"/>
    <x v="0"/>
    <x v="5"/>
    <x v="0"/>
    <n v="93"/>
    <s v="Nevada"/>
    <x v="1"/>
    <x v="18"/>
    <x v="3"/>
    <x v="7"/>
    <x v="1"/>
    <x v="3"/>
    <x v="0"/>
    <x v="0"/>
    <n v="3"/>
    <x v="0"/>
    <x v="5"/>
  </r>
  <r>
    <n v="1611"/>
    <x v="30"/>
    <x v="0"/>
    <x v="20"/>
    <x v="0"/>
    <n v="31"/>
    <s v="Tennessee"/>
    <x v="0"/>
    <x v="7"/>
    <x v="1"/>
    <x v="23"/>
    <x v="1"/>
    <x v="4"/>
    <x v="0"/>
    <x v="0"/>
    <n v="1"/>
    <x v="3"/>
    <x v="2"/>
  </r>
  <r>
    <n v="1612"/>
    <x v="38"/>
    <x v="0"/>
    <x v="13"/>
    <x v="0"/>
    <n v="26"/>
    <s v="Arkansas"/>
    <x v="0"/>
    <x v="22"/>
    <x v="0"/>
    <x v="9"/>
    <x v="1"/>
    <x v="2"/>
    <x v="0"/>
    <x v="0"/>
    <n v="6"/>
    <x v="5"/>
    <x v="5"/>
  </r>
  <r>
    <n v="1613"/>
    <x v="20"/>
    <x v="0"/>
    <x v="11"/>
    <x v="0"/>
    <n v="68"/>
    <s v="Wisconsin"/>
    <x v="2"/>
    <x v="21"/>
    <x v="2"/>
    <x v="14"/>
    <x v="1"/>
    <x v="3"/>
    <x v="0"/>
    <x v="0"/>
    <n v="26"/>
    <x v="0"/>
    <x v="5"/>
  </r>
  <r>
    <n v="1614"/>
    <x v="8"/>
    <x v="0"/>
    <x v="16"/>
    <x v="3"/>
    <n v="31"/>
    <s v="Illinois"/>
    <x v="1"/>
    <x v="13"/>
    <x v="2"/>
    <x v="17"/>
    <x v="1"/>
    <x v="2"/>
    <x v="0"/>
    <x v="0"/>
    <n v="6"/>
    <x v="2"/>
    <x v="0"/>
  </r>
  <r>
    <n v="1615"/>
    <x v="11"/>
    <x v="0"/>
    <x v="17"/>
    <x v="0"/>
    <n v="41"/>
    <s v="Kansas"/>
    <x v="1"/>
    <x v="0"/>
    <x v="2"/>
    <x v="23"/>
    <x v="1"/>
    <x v="1"/>
    <x v="0"/>
    <x v="0"/>
    <n v="22"/>
    <x v="1"/>
    <x v="4"/>
  </r>
  <r>
    <n v="1616"/>
    <x v="14"/>
    <x v="0"/>
    <x v="16"/>
    <x v="3"/>
    <n v="62"/>
    <s v="New York"/>
    <x v="2"/>
    <x v="21"/>
    <x v="3"/>
    <x v="4"/>
    <x v="1"/>
    <x v="3"/>
    <x v="0"/>
    <x v="0"/>
    <n v="45"/>
    <x v="1"/>
    <x v="4"/>
  </r>
  <r>
    <n v="1617"/>
    <x v="8"/>
    <x v="0"/>
    <x v="19"/>
    <x v="3"/>
    <n v="41"/>
    <s v="Colorado"/>
    <x v="2"/>
    <x v="14"/>
    <x v="1"/>
    <x v="23"/>
    <x v="1"/>
    <x v="3"/>
    <x v="0"/>
    <x v="0"/>
    <n v="50"/>
    <x v="1"/>
    <x v="3"/>
  </r>
  <r>
    <n v="1618"/>
    <x v="49"/>
    <x v="0"/>
    <x v="0"/>
    <x v="0"/>
    <n v="64"/>
    <s v="Wisconsin"/>
    <x v="2"/>
    <x v="15"/>
    <x v="0"/>
    <x v="24"/>
    <x v="1"/>
    <x v="3"/>
    <x v="0"/>
    <x v="0"/>
    <n v="50"/>
    <x v="2"/>
    <x v="0"/>
  </r>
  <r>
    <n v="1619"/>
    <x v="6"/>
    <x v="0"/>
    <x v="3"/>
    <x v="1"/>
    <n v="72"/>
    <s v="Michigan"/>
    <x v="0"/>
    <x v="7"/>
    <x v="2"/>
    <x v="16"/>
    <x v="1"/>
    <x v="3"/>
    <x v="0"/>
    <x v="0"/>
    <n v="39"/>
    <x v="5"/>
    <x v="3"/>
  </r>
  <r>
    <n v="1620"/>
    <x v="9"/>
    <x v="0"/>
    <x v="8"/>
    <x v="3"/>
    <n v="78"/>
    <s v="Hawaii"/>
    <x v="0"/>
    <x v="19"/>
    <x v="0"/>
    <x v="1"/>
    <x v="1"/>
    <x v="5"/>
    <x v="0"/>
    <x v="0"/>
    <n v="50"/>
    <x v="0"/>
    <x v="4"/>
  </r>
  <r>
    <n v="1621"/>
    <x v="15"/>
    <x v="0"/>
    <x v="19"/>
    <x v="3"/>
    <n v="47"/>
    <s v="Virginia"/>
    <x v="2"/>
    <x v="4"/>
    <x v="0"/>
    <x v="0"/>
    <x v="1"/>
    <x v="4"/>
    <x v="0"/>
    <x v="0"/>
    <n v="27"/>
    <x v="3"/>
    <x v="6"/>
  </r>
  <r>
    <n v="1622"/>
    <x v="33"/>
    <x v="0"/>
    <x v="18"/>
    <x v="3"/>
    <n v="46"/>
    <s v="Ohio"/>
    <x v="0"/>
    <x v="0"/>
    <x v="2"/>
    <x v="20"/>
    <x v="1"/>
    <x v="4"/>
    <x v="0"/>
    <x v="0"/>
    <n v="38"/>
    <x v="5"/>
    <x v="0"/>
  </r>
  <r>
    <n v="1623"/>
    <x v="18"/>
    <x v="0"/>
    <x v="6"/>
    <x v="0"/>
    <n v="43"/>
    <s v="Missouri"/>
    <x v="1"/>
    <x v="18"/>
    <x v="0"/>
    <x v="17"/>
    <x v="1"/>
    <x v="5"/>
    <x v="0"/>
    <x v="0"/>
    <n v="37"/>
    <x v="4"/>
    <x v="6"/>
  </r>
  <r>
    <n v="1624"/>
    <x v="14"/>
    <x v="0"/>
    <x v="21"/>
    <x v="3"/>
    <n v="58"/>
    <s v="Indiana"/>
    <x v="2"/>
    <x v="17"/>
    <x v="2"/>
    <x v="1"/>
    <x v="1"/>
    <x v="2"/>
    <x v="0"/>
    <x v="0"/>
    <n v="50"/>
    <x v="5"/>
    <x v="2"/>
  </r>
  <r>
    <n v="1625"/>
    <x v="21"/>
    <x v="0"/>
    <x v="1"/>
    <x v="0"/>
    <n v="32"/>
    <s v="Florida"/>
    <x v="2"/>
    <x v="3"/>
    <x v="0"/>
    <x v="15"/>
    <x v="1"/>
    <x v="1"/>
    <x v="0"/>
    <x v="0"/>
    <n v="40"/>
    <x v="3"/>
    <x v="6"/>
  </r>
  <r>
    <n v="1626"/>
    <x v="50"/>
    <x v="0"/>
    <x v="11"/>
    <x v="0"/>
    <n v="45"/>
    <s v="Minnesota"/>
    <x v="0"/>
    <x v="19"/>
    <x v="0"/>
    <x v="21"/>
    <x v="1"/>
    <x v="2"/>
    <x v="0"/>
    <x v="0"/>
    <n v="3"/>
    <x v="3"/>
    <x v="4"/>
  </r>
  <r>
    <n v="1627"/>
    <x v="45"/>
    <x v="0"/>
    <x v="4"/>
    <x v="1"/>
    <n v="35"/>
    <s v="Nevada"/>
    <x v="0"/>
    <x v="20"/>
    <x v="2"/>
    <x v="5"/>
    <x v="1"/>
    <x v="2"/>
    <x v="0"/>
    <x v="0"/>
    <n v="45"/>
    <x v="2"/>
    <x v="4"/>
  </r>
  <r>
    <n v="1628"/>
    <x v="28"/>
    <x v="0"/>
    <x v="12"/>
    <x v="3"/>
    <n v="21"/>
    <s v="Maine"/>
    <x v="2"/>
    <x v="8"/>
    <x v="0"/>
    <x v="3"/>
    <x v="1"/>
    <x v="2"/>
    <x v="0"/>
    <x v="0"/>
    <n v="8"/>
    <x v="2"/>
    <x v="2"/>
  </r>
  <r>
    <n v="1629"/>
    <x v="4"/>
    <x v="0"/>
    <x v="10"/>
    <x v="0"/>
    <n v="64"/>
    <s v="Massachusetts"/>
    <x v="1"/>
    <x v="11"/>
    <x v="0"/>
    <x v="0"/>
    <x v="1"/>
    <x v="2"/>
    <x v="0"/>
    <x v="0"/>
    <n v="7"/>
    <x v="1"/>
    <x v="5"/>
  </r>
  <r>
    <n v="1630"/>
    <x v="25"/>
    <x v="0"/>
    <x v="0"/>
    <x v="0"/>
    <n v="88"/>
    <s v="North Dakota"/>
    <x v="1"/>
    <x v="5"/>
    <x v="1"/>
    <x v="13"/>
    <x v="1"/>
    <x v="2"/>
    <x v="0"/>
    <x v="0"/>
    <n v="13"/>
    <x v="0"/>
    <x v="3"/>
  </r>
  <r>
    <n v="1631"/>
    <x v="6"/>
    <x v="0"/>
    <x v="9"/>
    <x v="1"/>
    <n v="48"/>
    <s v="New Jersey"/>
    <x v="2"/>
    <x v="9"/>
    <x v="2"/>
    <x v="3"/>
    <x v="1"/>
    <x v="5"/>
    <x v="0"/>
    <x v="0"/>
    <n v="29"/>
    <x v="0"/>
    <x v="6"/>
  </r>
  <r>
    <n v="1632"/>
    <x v="13"/>
    <x v="0"/>
    <x v="1"/>
    <x v="0"/>
    <n v="36"/>
    <s v="Indiana"/>
    <x v="0"/>
    <x v="10"/>
    <x v="2"/>
    <x v="20"/>
    <x v="1"/>
    <x v="4"/>
    <x v="0"/>
    <x v="0"/>
    <n v="7"/>
    <x v="4"/>
    <x v="0"/>
  </r>
  <r>
    <n v="1633"/>
    <x v="25"/>
    <x v="0"/>
    <x v="24"/>
    <x v="3"/>
    <n v="28"/>
    <s v="Oregon"/>
    <x v="1"/>
    <x v="3"/>
    <x v="2"/>
    <x v="10"/>
    <x v="1"/>
    <x v="4"/>
    <x v="0"/>
    <x v="0"/>
    <n v="50"/>
    <x v="5"/>
    <x v="6"/>
  </r>
  <r>
    <n v="1634"/>
    <x v="22"/>
    <x v="0"/>
    <x v="20"/>
    <x v="0"/>
    <n v="80"/>
    <s v="North Dakota"/>
    <x v="2"/>
    <x v="15"/>
    <x v="1"/>
    <x v="14"/>
    <x v="1"/>
    <x v="4"/>
    <x v="0"/>
    <x v="0"/>
    <n v="33"/>
    <x v="5"/>
    <x v="4"/>
  </r>
  <r>
    <n v="1635"/>
    <x v="48"/>
    <x v="0"/>
    <x v="7"/>
    <x v="2"/>
    <n v="23"/>
    <s v="South Carolina"/>
    <x v="1"/>
    <x v="20"/>
    <x v="2"/>
    <x v="15"/>
    <x v="1"/>
    <x v="5"/>
    <x v="0"/>
    <x v="0"/>
    <n v="30"/>
    <x v="1"/>
    <x v="6"/>
  </r>
  <r>
    <n v="1636"/>
    <x v="33"/>
    <x v="0"/>
    <x v="12"/>
    <x v="3"/>
    <n v="24"/>
    <s v="North Carolina"/>
    <x v="0"/>
    <x v="10"/>
    <x v="2"/>
    <x v="4"/>
    <x v="1"/>
    <x v="3"/>
    <x v="0"/>
    <x v="0"/>
    <n v="40"/>
    <x v="1"/>
    <x v="2"/>
  </r>
  <r>
    <n v="1637"/>
    <x v="44"/>
    <x v="0"/>
    <x v="23"/>
    <x v="1"/>
    <n v="22"/>
    <s v="North Dakota"/>
    <x v="0"/>
    <x v="14"/>
    <x v="3"/>
    <x v="17"/>
    <x v="1"/>
    <x v="1"/>
    <x v="0"/>
    <x v="0"/>
    <n v="49"/>
    <x v="1"/>
    <x v="0"/>
  </r>
  <r>
    <n v="1638"/>
    <x v="25"/>
    <x v="0"/>
    <x v="10"/>
    <x v="0"/>
    <n v="21"/>
    <s v="Massachusetts"/>
    <x v="2"/>
    <x v="15"/>
    <x v="1"/>
    <x v="1"/>
    <x v="1"/>
    <x v="2"/>
    <x v="0"/>
    <x v="0"/>
    <n v="32"/>
    <x v="0"/>
    <x v="0"/>
  </r>
  <r>
    <n v="1639"/>
    <x v="33"/>
    <x v="0"/>
    <x v="14"/>
    <x v="2"/>
    <n v="51"/>
    <s v="Tennessee"/>
    <x v="2"/>
    <x v="13"/>
    <x v="1"/>
    <x v="12"/>
    <x v="1"/>
    <x v="1"/>
    <x v="0"/>
    <x v="0"/>
    <n v="18"/>
    <x v="0"/>
    <x v="1"/>
  </r>
  <r>
    <n v="1640"/>
    <x v="38"/>
    <x v="0"/>
    <x v="24"/>
    <x v="3"/>
    <n v="65"/>
    <s v="Missouri"/>
    <x v="0"/>
    <x v="24"/>
    <x v="2"/>
    <x v="13"/>
    <x v="1"/>
    <x v="1"/>
    <x v="0"/>
    <x v="0"/>
    <n v="50"/>
    <x v="3"/>
    <x v="2"/>
  </r>
  <r>
    <n v="1641"/>
    <x v="13"/>
    <x v="0"/>
    <x v="18"/>
    <x v="3"/>
    <n v="51"/>
    <s v="Tennessee"/>
    <x v="1"/>
    <x v="23"/>
    <x v="1"/>
    <x v="17"/>
    <x v="1"/>
    <x v="4"/>
    <x v="0"/>
    <x v="0"/>
    <n v="13"/>
    <x v="3"/>
    <x v="1"/>
  </r>
  <r>
    <n v="1642"/>
    <x v="2"/>
    <x v="0"/>
    <x v="15"/>
    <x v="0"/>
    <n v="32"/>
    <s v="Colorado"/>
    <x v="0"/>
    <x v="10"/>
    <x v="2"/>
    <x v="23"/>
    <x v="1"/>
    <x v="1"/>
    <x v="0"/>
    <x v="0"/>
    <n v="1"/>
    <x v="4"/>
    <x v="6"/>
  </r>
  <r>
    <n v="1643"/>
    <x v="20"/>
    <x v="0"/>
    <x v="7"/>
    <x v="2"/>
    <n v="70"/>
    <s v="Mississippi"/>
    <x v="2"/>
    <x v="19"/>
    <x v="1"/>
    <x v="19"/>
    <x v="1"/>
    <x v="5"/>
    <x v="0"/>
    <x v="0"/>
    <n v="16"/>
    <x v="3"/>
    <x v="0"/>
  </r>
  <r>
    <n v="1644"/>
    <x v="21"/>
    <x v="0"/>
    <x v="18"/>
    <x v="3"/>
    <n v="77"/>
    <s v="Ohio"/>
    <x v="0"/>
    <x v="6"/>
    <x v="2"/>
    <x v="20"/>
    <x v="1"/>
    <x v="4"/>
    <x v="0"/>
    <x v="0"/>
    <n v="6"/>
    <x v="3"/>
    <x v="5"/>
  </r>
  <r>
    <n v="1645"/>
    <x v="33"/>
    <x v="0"/>
    <x v="7"/>
    <x v="2"/>
    <n v="90"/>
    <s v="North Carolina"/>
    <x v="1"/>
    <x v="19"/>
    <x v="2"/>
    <x v="20"/>
    <x v="1"/>
    <x v="2"/>
    <x v="0"/>
    <x v="0"/>
    <n v="21"/>
    <x v="5"/>
    <x v="5"/>
  </r>
  <r>
    <n v="1646"/>
    <x v="10"/>
    <x v="0"/>
    <x v="18"/>
    <x v="3"/>
    <n v="36"/>
    <s v="Ohio"/>
    <x v="0"/>
    <x v="14"/>
    <x v="2"/>
    <x v="11"/>
    <x v="1"/>
    <x v="3"/>
    <x v="0"/>
    <x v="0"/>
    <n v="36"/>
    <x v="0"/>
    <x v="6"/>
  </r>
  <r>
    <n v="1647"/>
    <x v="44"/>
    <x v="0"/>
    <x v="8"/>
    <x v="3"/>
    <n v="77"/>
    <s v="Nebraska"/>
    <x v="1"/>
    <x v="5"/>
    <x v="2"/>
    <x v="18"/>
    <x v="1"/>
    <x v="3"/>
    <x v="0"/>
    <x v="0"/>
    <n v="20"/>
    <x v="4"/>
    <x v="6"/>
  </r>
  <r>
    <n v="1648"/>
    <x v="50"/>
    <x v="0"/>
    <x v="23"/>
    <x v="1"/>
    <n v="78"/>
    <s v="Hawaii"/>
    <x v="2"/>
    <x v="7"/>
    <x v="2"/>
    <x v="8"/>
    <x v="1"/>
    <x v="5"/>
    <x v="0"/>
    <x v="0"/>
    <n v="8"/>
    <x v="5"/>
    <x v="3"/>
  </r>
  <r>
    <n v="1649"/>
    <x v="24"/>
    <x v="0"/>
    <x v="13"/>
    <x v="0"/>
    <n v="69"/>
    <s v="Oklahoma"/>
    <x v="2"/>
    <x v="0"/>
    <x v="2"/>
    <x v="5"/>
    <x v="1"/>
    <x v="0"/>
    <x v="0"/>
    <x v="0"/>
    <n v="22"/>
    <x v="2"/>
    <x v="5"/>
  </r>
  <r>
    <n v="1650"/>
    <x v="44"/>
    <x v="0"/>
    <x v="17"/>
    <x v="0"/>
    <n v="63"/>
    <s v="Wisconsin"/>
    <x v="2"/>
    <x v="3"/>
    <x v="2"/>
    <x v="8"/>
    <x v="1"/>
    <x v="1"/>
    <x v="0"/>
    <x v="0"/>
    <n v="3"/>
    <x v="2"/>
    <x v="3"/>
  </r>
  <r>
    <n v="1651"/>
    <x v="52"/>
    <x v="0"/>
    <x v="18"/>
    <x v="3"/>
    <n v="36"/>
    <s v="Arkansas"/>
    <x v="2"/>
    <x v="5"/>
    <x v="0"/>
    <x v="23"/>
    <x v="1"/>
    <x v="2"/>
    <x v="0"/>
    <x v="0"/>
    <n v="46"/>
    <x v="2"/>
    <x v="0"/>
  </r>
  <r>
    <n v="1652"/>
    <x v="35"/>
    <x v="0"/>
    <x v="7"/>
    <x v="2"/>
    <n v="80"/>
    <s v="Texas"/>
    <x v="2"/>
    <x v="24"/>
    <x v="0"/>
    <x v="20"/>
    <x v="1"/>
    <x v="3"/>
    <x v="0"/>
    <x v="0"/>
    <n v="42"/>
    <x v="5"/>
    <x v="5"/>
  </r>
  <r>
    <n v="1653"/>
    <x v="13"/>
    <x v="0"/>
    <x v="1"/>
    <x v="0"/>
    <n v="35"/>
    <s v="New Mexico"/>
    <x v="2"/>
    <x v="20"/>
    <x v="2"/>
    <x v="17"/>
    <x v="1"/>
    <x v="2"/>
    <x v="0"/>
    <x v="0"/>
    <n v="1"/>
    <x v="4"/>
    <x v="0"/>
  </r>
  <r>
    <n v="1654"/>
    <x v="18"/>
    <x v="0"/>
    <x v="22"/>
    <x v="3"/>
    <n v="93"/>
    <s v="Colorado"/>
    <x v="0"/>
    <x v="5"/>
    <x v="0"/>
    <x v="21"/>
    <x v="1"/>
    <x v="4"/>
    <x v="0"/>
    <x v="0"/>
    <n v="29"/>
    <x v="5"/>
    <x v="4"/>
  </r>
  <r>
    <n v="1655"/>
    <x v="49"/>
    <x v="0"/>
    <x v="22"/>
    <x v="3"/>
    <n v="25"/>
    <s v="Indiana"/>
    <x v="0"/>
    <x v="0"/>
    <x v="1"/>
    <x v="5"/>
    <x v="1"/>
    <x v="5"/>
    <x v="0"/>
    <x v="0"/>
    <n v="14"/>
    <x v="2"/>
    <x v="3"/>
  </r>
  <r>
    <n v="1656"/>
    <x v="43"/>
    <x v="0"/>
    <x v="1"/>
    <x v="0"/>
    <n v="81"/>
    <s v="Arizona"/>
    <x v="0"/>
    <x v="9"/>
    <x v="1"/>
    <x v="4"/>
    <x v="1"/>
    <x v="2"/>
    <x v="0"/>
    <x v="0"/>
    <n v="4"/>
    <x v="3"/>
    <x v="5"/>
  </r>
  <r>
    <n v="1657"/>
    <x v="3"/>
    <x v="0"/>
    <x v="0"/>
    <x v="0"/>
    <n v="42"/>
    <s v="Indiana"/>
    <x v="0"/>
    <x v="18"/>
    <x v="1"/>
    <x v="5"/>
    <x v="1"/>
    <x v="4"/>
    <x v="0"/>
    <x v="0"/>
    <n v="41"/>
    <x v="3"/>
    <x v="6"/>
  </r>
  <r>
    <n v="1658"/>
    <x v="28"/>
    <x v="0"/>
    <x v="11"/>
    <x v="0"/>
    <n v="36"/>
    <s v="Indiana"/>
    <x v="0"/>
    <x v="2"/>
    <x v="1"/>
    <x v="4"/>
    <x v="1"/>
    <x v="5"/>
    <x v="0"/>
    <x v="0"/>
    <n v="4"/>
    <x v="5"/>
    <x v="4"/>
  </r>
  <r>
    <n v="1659"/>
    <x v="45"/>
    <x v="0"/>
    <x v="16"/>
    <x v="3"/>
    <n v="66"/>
    <s v="Alaska"/>
    <x v="1"/>
    <x v="6"/>
    <x v="1"/>
    <x v="7"/>
    <x v="1"/>
    <x v="5"/>
    <x v="0"/>
    <x v="0"/>
    <n v="47"/>
    <x v="1"/>
    <x v="1"/>
  </r>
  <r>
    <n v="1660"/>
    <x v="10"/>
    <x v="0"/>
    <x v="24"/>
    <x v="3"/>
    <n v="37"/>
    <s v="Utah"/>
    <x v="2"/>
    <x v="13"/>
    <x v="3"/>
    <x v="20"/>
    <x v="1"/>
    <x v="2"/>
    <x v="0"/>
    <x v="0"/>
    <n v="44"/>
    <x v="0"/>
    <x v="2"/>
  </r>
  <r>
    <n v="1661"/>
    <x v="35"/>
    <x v="0"/>
    <x v="17"/>
    <x v="0"/>
    <n v="45"/>
    <s v="Louisiana"/>
    <x v="0"/>
    <x v="22"/>
    <x v="0"/>
    <x v="7"/>
    <x v="1"/>
    <x v="3"/>
    <x v="0"/>
    <x v="0"/>
    <n v="37"/>
    <x v="0"/>
    <x v="5"/>
  </r>
  <r>
    <n v="1662"/>
    <x v="14"/>
    <x v="0"/>
    <x v="24"/>
    <x v="3"/>
    <n v="86"/>
    <s v="Iowa"/>
    <x v="1"/>
    <x v="19"/>
    <x v="2"/>
    <x v="2"/>
    <x v="1"/>
    <x v="4"/>
    <x v="0"/>
    <x v="0"/>
    <n v="21"/>
    <x v="5"/>
    <x v="3"/>
  </r>
  <r>
    <n v="1663"/>
    <x v="6"/>
    <x v="0"/>
    <x v="12"/>
    <x v="3"/>
    <n v="24"/>
    <s v="New Mexico"/>
    <x v="2"/>
    <x v="8"/>
    <x v="0"/>
    <x v="12"/>
    <x v="1"/>
    <x v="1"/>
    <x v="0"/>
    <x v="0"/>
    <n v="46"/>
    <x v="5"/>
    <x v="0"/>
  </r>
  <r>
    <n v="1664"/>
    <x v="49"/>
    <x v="0"/>
    <x v="5"/>
    <x v="0"/>
    <n v="22"/>
    <s v="Maine"/>
    <x v="3"/>
    <x v="9"/>
    <x v="2"/>
    <x v="1"/>
    <x v="1"/>
    <x v="3"/>
    <x v="0"/>
    <x v="0"/>
    <n v="1"/>
    <x v="1"/>
    <x v="4"/>
  </r>
  <r>
    <n v="1665"/>
    <x v="1"/>
    <x v="0"/>
    <x v="8"/>
    <x v="3"/>
    <n v="53"/>
    <s v="Minnesota"/>
    <x v="2"/>
    <x v="7"/>
    <x v="1"/>
    <x v="16"/>
    <x v="1"/>
    <x v="2"/>
    <x v="0"/>
    <x v="0"/>
    <n v="35"/>
    <x v="3"/>
    <x v="1"/>
  </r>
  <r>
    <n v="1666"/>
    <x v="37"/>
    <x v="0"/>
    <x v="14"/>
    <x v="2"/>
    <n v="41"/>
    <s v="New Mexico"/>
    <x v="0"/>
    <x v="6"/>
    <x v="3"/>
    <x v="23"/>
    <x v="1"/>
    <x v="2"/>
    <x v="0"/>
    <x v="0"/>
    <n v="49"/>
    <x v="0"/>
    <x v="5"/>
  </r>
  <r>
    <n v="1667"/>
    <x v="47"/>
    <x v="0"/>
    <x v="11"/>
    <x v="0"/>
    <n v="64"/>
    <s v="Arkansas"/>
    <x v="2"/>
    <x v="24"/>
    <x v="2"/>
    <x v="0"/>
    <x v="1"/>
    <x v="5"/>
    <x v="0"/>
    <x v="0"/>
    <n v="47"/>
    <x v="3"/>
    <x v="2"/>
  </r>
  <r>
    <n v="1668"/>
    <x v="47"/>
    <x v="0"/>
    <x v="8"/>
    <x v="3"/>
    <n v="40"/>
    <s v="Oklahoma"/>
    <x v="0"/>
    <x v="18"/>
    <x v="0"/>
    <x v="23"/>
    <x v="1"/>
    <x v="4"/>
    <x v="0"/>
    <x v="0"/>
    <n v="24"/>
    <x v="4"/>
    <x v="6"/>
  </r>
  <r>
    <n v="1669"/>
    <x v="17"/>
    <x v="0"/>
    <x v="0"/>
    <x v="0"/>
    <n v="33"/>
    <s v="Utah"/>
    <x v="0"/>
    <x v="4"/>
    <x v="2"/>
    <x v="17"/>
    <x v="1"/>
    <x v="3"/>
    <x v="0"/>
    <x v="0"/>
    <n v="28"/>
    <x v="5"/>
    <x v="0"/>
  </r>
  <r>
    <n v="1670"/>
    <x v="32"/>
    <x v="0"/>
    <x v="17"/>
    <x v="0"/>
    <n v="59"/>
    <s v="Wisconsin"/>
    <x v="0"/>
    <x v="1"/>
    <x v="0"/>
    <x v="2"/>
    <x v="1"/>
    <x v="5"/>
    <x v="0"/>
    <x v="0"/>
    <n v="22"/>
    <x v="4"/>
    <x v="3"/>
  </r>
  <r>
    <n v="1671"/>
    <x v="40"/>
    <x v="0"/>
    <x v="13"/>
    <x v="0"/>
    <n v="73"/>
    <s v="Utah"/>
    <x v="0"/>
    <x v="17"/>
    <x v="3"/>
    <x v="15"/>
    <x v="1"/>
    <x v="1"/>
    <x v="0"/>
    <x v="0"/>
    <n v="20"/>
    <x v="1"/>
    <x v="1"/>
  </r>
  <r>
    <n v="1672"/>
    <x v="18"/>
    <x v="0"/>
    <x v="15"/>
    <x v="0"/>
    <n v="22"/>
    <s v="Utah"/>
    <x v="2"/>
    <x v="8"/>
    <x v="0"/>
    <x v="17"/>
    <x v="1"/>
    <x v="1"/>
    <x v="0"/>
    <x v="0"/>
    <n v="25"/>
    <x v="4"/>
    <x v="1"/>
  </r>
  <r>
    <n v="1673"/>
    <x v="20"/>
    <x v="0"/>
    <x v="23"/>
    <x v="1"/>
    <n v="73"/>
    <s v="South Carolina"/>
    <x v="0"/>
    <x v="9"/>
    <x v="3"/>
    <x v="22"/>
    <x v="1"/>
    <x v="1"/>
    <x v="0"/>
    <x v="0"/>
    <n v="15"/>
    <x v="0"/>
    <x v="3"/>
  </r>
  <r>
    <n v="1674"/>
    <x v="3"/>
    <x v="0"/>
    <x v="0"/>
    <x v="0"/>
    <n v="62"/>
    <s v="Hawaii"/>
    <x v="2"/>
    <x v="10"/>
    <x v="3"/>
    <x v="23"/>
    <x v="1"/>
    <x v="2"/>
    <x v="0"/>
    <x v="0"/>
    <n v="49"/>
    <x v="0"/>
    <x v="4"/>
  </r>
  <r>
    <n v="1675"/>
    <x v="25"/>
    <x v="0"/>
    <x v="7"/>
    <x v="2"/>
    <n v="56"/>
    <s v="Alaska"/>
    <x v="2"/>
    <x v="15"/>
    <x v="0"/>
    <x v="4"/>
    <x v="1"/>
    <x v="1"/>
    <x v="0"/>
    <x v="0"/>
    <n v="10"/>
    <x v="5"/>
    <x v="0"/>
  </r>
  <r>
    <n v="1676"/>
    <x v="25"/>
    <x v="0"/>
    <x v="13"/>
    <x v="0"/>
    <n v="90"/>
    <s v="Colorado"/>
    <x v="2"/>
    <x v="19"/>
    <x v="1"/>
    <x v="10"/>
    <x v="1"/>
    <x v="2"/>
    <x v="0"/>
    <x v="0"/>
    <n v="21"/>
    <x v="2"/>
    <x v="2"/>
  </r>
  <r>
    <n v="1677"/>
    <x v="7"/>
    <x v="0"/>
    <x v="12"/>
    <x v="3"/>
    <n v="44"/>
    <s v="West Virginia"/>
    <x v="2"/>
    <x v="17"/>
    <x v="0"/>
    <x v="0"/>
    <x v="1"/>
    <x v="2"/>
    <x v="0"/>
    <x v="0"/>
    <n v="34"/>
    <x v="4"/>
    <x v="1"/>
  </r>
  <r>
    <n v="1678"/>
    <x v="13"/>
    <x v="0"/>
    <x v="2"/>
    <x v="0"/>
    <n v="35"/>
    <s v="Oregon"/>
    <x v="0"/>
    <x v="5"/>
    <x v="2"/>
    <x v="13"/>
    <x v="1"/>
    <x v="2"/>
    <x v="1"/>
    <x v="1"/>
    <n v="41"/>
    <x v="5"/>
    <x v="1"/>
  </r>
  <r>
    <n v="1679"/>
    <x v="38"/>
    <x v="0"/>
    <x v="13"/>
    <x v="0"/>
    <n v="71"/>
    <s v="Ohio"/>
    <x v="1"/>
    <x v="23"/>
    <x v="2"/>
    <x v="6"/>
    <x v="1"/>
    <x v="4"/>
    <x v="1"/>
    <x v="1"/>
    <n v="30"/>
    <x v="0"/>
    <x v="0"/>
  </r>
  <r>
    <n v="1680"/>
    <x v="52"/>
    <x v="0"/>
    <x v="10"/>
    <x v="0"/>
    <n v="52"/>
    <s v="Massachusetts"/>
    <x v="1"/>
    <x v="13"/>
    <x v="3"/>
    <x v="9"/>
    <x v="1"/>
    <x v="2"/>
    <x v="1"/>
    <x v="1"/>
    <n v="24"/>
    <x v="5"/>
    <x v="4"/>
  </r>
  <r>
    <n v="1681"/>
    <x v="12"/>
    <x v="0"/>
    <x v="9"/>
    <x v="1"/>
    <n v="37"/>
    <s v="Louisiana"/>
    <x v="2"/>
    <x v="8"/>
    <x v="2"/>
    <x v="23"/>
    <x v="1"/>
    <x v="5"/>
    <x v="1"/>
    <x v="1"/>
    <n v="6"/>
    <x v="2"/>
    <x v="2"/>
  </r>
  <r>
    <n v="1682"/>
    <x v="41"/>
    <x v="0"/>
    <x v="4"/>
    <x v="1"/>
    <n v="95"/>
    <s v="Virginia"/>
    <x v="0"/>
    <x v="14"/>
    <x v="0"/>
    <x v="18"/>
    <x v="1"/>
    <x v="4"/>
    <x v="1"/>
    <x v="1"/>
    <n v="14"/>
    <x v="2"/>
    <x v="4"/>
  </r>
  <r>
    <n v="1683"/>
    <x v="13"/>
    <x v="0"/>
    <x v="20"/>
    <x v="0"/>
    <n v="97"/>
    <s v="New York"/>
    <x v="2"/>
    <x v="22"/>
    <x v="3"/>
    <x v="8"/>
    <x v="1"/>
    <x v="4"/>
    <x v="1"/>
    <x v="1"/>
    <n v="37"/>
    <x v="2"/>
    <x v="4"/>
  </r>
  <r>
    <n v="1684"/>
    <x v="51"/>
    <x v="0"/>
    <x v="7"/>
    <x v="2"/>
    <n v="57"/>
    <s v="Arkansas"/>
    <x v="1"/>
    <x v="12"/>
    <x v="1"/>
    <x v="1"/>
    <x v="1"/>
    <x v="2"/>
    <x v="1"/>
    <x v="1"/>
    <n v="37"/>
    <x v="0"/>
    <x v="3"/>
  </r>
  <r>
    <n v="1685"/>
    <x v="11"/>
    <x v="0"/>
    <x v="5"/>
    <x v="0"/>
    <n v="93"/>
    <s v="New Mexico"/>
    <x v="2"/>
    <x v="21"/>
    <x v="1"/>
    <x v="12"/>
    <x v="1"/>
    <x v="3"/>
    <x v="1"/>
    <x v="1"/>
    <n v="28"/>
    <x v="3"/>
    <x v="1"/>
  </r>
  <r>
    <n v="1686"/>
    <x v="23"/>
    <x v="0"/>
    <x v="0"/>
    <x v="0"/>
    <n v="48"/>
    <s v="Minnesota"/>
    <x v="2"/>
    <x v="6"/>
    <x v="0"/>
    <x v="12"/>
    <x v="1"/>
    <x v="3"/>
    <x v="1"/>
    <x v="1"/>
    <n v="43"/>
    <x v="3"/>
    <x v="4"/>
  </r>
  <r>
    <n v="1687"/>
    <x v="40"/>
    <x v="0"/>
    <x v="24"/>
    <x v="3"/>
    <n v="75"/>
    <s v="Illinois"/>
    <x v="0"/>
    <x v="16"/>
    <x v="3"/>
    <x v="19"/>
    <x v="1"/>
    <x v="5"/>
    <x v="1"/>
    <x v="1"/>
    <n v="25"/>
    <x v="1"/>
    <x v="2"/>
  </r>
  <r>
    <n v="1688"/>
    <x v="29"/>
    <x v="0"/>
    <x v="11"/>
    <x v="0"/>
    <n v="70"/>
    <s v="Georgia"/>
    <x v="1"/>
    <x v="23"/>
    <x v="0"/>
    <x v="18"/>
    <x v="1"/>
    <x v="1"/>
    <x v="1"/>
    <x v="1"/>
    <n v="4"/>
    <x v="3"/>
    <x v="2"/>
  </r>
  <r>
    <n v="1689"/>
    <x v="48"/>
    <x v="0"/>
    <x v="8"/>
    <x v="3"/>
    <n v="26"/>
    <s v="Mississippi"/>
    <x v="1"/>
    <x v="15"/>
    <x v="0"/>
    <x v="21"/>
    <x v="1"/>
    <x v="2"/>
    <x v="1"/>
    <x v="1"/>
    <n v="13"/>
    <x v="0"/>
    <x v="0"/>
  </r>
  <r>
    <n v="1690"/>
    <x v="45"/>
    <x v="0"/>
    <x v="5"/>
    <x v="0"/>
    <n v="73"/>
    <s v="North Carolina"/>
    <x v="0"/>
    <x v="2"/>
    <x v="0"/>
    <x v="12"/>
    <x v="1"/>
    <x v="5"/>
    <x v="1"/>
    <x v="1"/>
    <n v="32"/>
    <x v="4"/>
    <x v="5"/>
  </r>
  <r>
    <n v="1691"/>
    <x v="37"/>
    <x v="0"/>
    <x v="7"/>
    <x v="2"/>
    <n v="30"/>
    <s v="Nevada"/>
    <x v="2"/>
    <x v="13"/>
    <x v="2"/>
    <x v="4"/>
    <x v="1"/>
    <x v="1"/>
    <x v="1"/>
    <x v="1"/>
    <n v="1"/>
    <x v="1"/>
    <x v="2"/>
  </r>
  <r>
    <n v="1692"/>
    <x v="14"/>
    <x v="0"/>
    <x v="9"/>
    <x v="1"/>
    <n v="61"/>
    <s v="Connecticut"/>
    <x v="0"/>
    <x v="24"/>
    <x v="2"/>
    <x v="1"/>
    <x v="1"/>
    <x v="2"/>
    <x v="1"/>
    <x v="1"/>
    <n v="4"/>
    <x v="1"/>
    <x v="2"/>
  </r>
  <r>
    <n v="1693"/>
    <x v="19"/>
    <x v="0"/>
    <x v="8"/>
    <x v="3"/>
    <n v="75"/>
    <s v="Utah"/>
    <x v="2"/>
    <x v="19"/>
    <x v="0"/>
    <x v="5"/>
    <x v="1"/>
    <x v="3"/>
    <x v="1"/>
    <x v="1"/>
    <n v="33"/>
    <x v="1"/>
    <x v="4"/>
  </r>
  <r>
    <n v="1694"/>
    <x v="6"/>
    <x v="0"/>
    <x v="14"/>
    <x v="2"/>
    <n v="88"/>
    <s v="Tennessee"/>
    <x v="3"/>
    <x v="8"/>
    <x v="3"/>
    <x v="8"/>
    <x v="1"/>
    <x v="3"/>
    <x v="1"/>
    <x v="1"/>
    <n v="45"/>
    <x v="4"/>
    <x v="0"/>
  </r>
  <r>
    <n v="1695"/>
    <x v="30"/>
    <x v="0"/>
    <x v="5"/>
    <x v="0"/>
    <n v="67"/>
    <s v="Mississippi"/>
    <x v="2"/>
    <x v="2"/>
    <x v="2"/>
    <x v="2"/>
    <x v="1"/>
    <x v="0"/>
    <x v="1"/>
    <x v="1"/>
    <n v="20"/>
    <x v="5"/>
    <x v="0"/>
  </r>
  <r>
    <n v="1696"/>
    <x v="22"/>
    <x v="0"/>
    <x v="19"/>
    <x v="3"/>
    <n v="95"/>
    <s v="Nebraska"/>
    <x v="1"/>
    <x v="22"/>
    <x v="3"/>
    <x v="10"/>
    <x v="1"/>
    <x v="4"/>
    <x v="1"/>
    <x v="1"/>
    <n v="1"/>
    <x v="3"/>
    <x v="0"/>
  </r>
  <r>
    <n v="1697"/>
    <x v="18"/>
    <x v="0"/>
    <x v="12"/>
    <x v="3"/>
    <n v="69"/>
    <s v="West Virginia"/>
    <x v="1"/>
    <x v="2"/>
    <x v="1"/>
    <x v="17"/>
    <x v="1"/>
    <x v="1"/>
    <x v="1"/>
    <x v="1"/>
    <n v="7"/>
    <x v="2"/>
    <x v="4"/>
  </r>
  <r>
    <n v="1698"/>
    <x v="24"/>
    <x v="0"/>
    <x v="5"/>
    <x v="0"/>
    <n v="87"/>
    <s v="South Carolina"/>
    <x v="0"/>
    <x v="12"/>
    <x v="3"/>
    <x v="1"/>
    <x v="1"/>
    <x v="2"/>
    <x v="1"/>
    <x v="1"/>
    <n v="48"/>
    <x v="2"/>
    <x v="6"/>
  </r>
  <r>
    <n v="1699"/>
    <x v="15"/>
    <x v="0"/>
    <x v="22"/>
    <x v="3"/>
    <n v="41"/>
    <s v="Iowa"/>
    <x v="3"/>
    <x v="2"/>
    <x v="0"/>
    <x v="6"/>
    <x v="1"/>
    <x v="3"/>
    <x v="1"/>
    <x v="1"/>
    <n v="46"/>
    <x v="4"/>
    <x v="3"/>
  </r>
  <r>
    <n v="1700"/>
    <x v="30"/>
    <x v="0"/>
    <x v="1"/>
    <x v="0"/>
    <n v="67"/>
    <s v="North Dakota"/>
    <x v="0"/>
    <x v="11"/>
    <x v="1"/>
    <x v="17"/>
    <x v="1"/>
    <x v="1"/>
    <x v="1"/>
    <x v="1"/>
    <n v="34"/>
    <x v="5"/>
    <x v="2"/>
  </r>
  <r>
    <n v="1701"/>
    <x v="46"/>
    <x v="0"/>
    <x v="15"/>
    <x v="0"/>
    <n v="70"/>
    <s v="West Virginia"/>
    <x v="0"/>
    <x v="13"/>
    <x v="3"/>
    <x v="7"/>
    <x v="1"/>
    <x v="0"/>
    <x v="1"/>
    <x v="1"/>
    <n v="36"/>
    <x v="4"/>
    <x v="5"/>
  </r>
  <r>
    <n v="1702"/>
    <x v="28"/>
    <x v="0"/>
    <x v="8"/>
    <x v="3"/>
    <n v="41"/>
    <s v="Mississippi"/>
    <x v="3"/>
    <x v="24"/>
    <x v="0"/>
    <x v="22"/>
    <x v="1"/>
    <x v="2"/>
    <x v="1"/>
    <x v="1"/>
    <n v="44"/>
    <x v="5"/>
    <x v="6"/>
  </r>
  <r>
    <n v="1703"/>
    <x v="22"/>
    <x v="0"/>
    <x v="2"/>
    <x v="0"/>
    <n v="83"/>
    <s v="Alabama"/>
    <x v="3"/>
    <x v="22"/>
    <x v="2"/>
    <x v="16"/>
    <x v="1"/>
    <x v="0"/>
    <x v="1"/>
    <x v="1"/>
    <n v="48"/>
    <x v="4"/>
    <x v="1"/>
  </r>
  <r>
    <n v="1704"/>
    <x v="31"/>
    <x v="0"/>
    <x v="21"/>
    <x v="3"/>
    <n v="22"/>
    <s v="California"/>
    <x v="2"/>
    <x v="13"/>
    <x v="1"/>
    <x v="17"/>
    <x v="1"/>
    <x v="2"/>
    <x v="1"/>
    <x v="1"/>
    <n v="12"/>
    <x v="4"/>
    <x v="2"/>
  </r>
  <r>
    <n v="1705"/>
    <x v="19"/>
    <x v="0"/>
    <x v="4"/>
    <x v="1"/>
    <n v="20"/>
    <s v="Idaho"/>
    <x v="2"/>
    <x v="12"/>
    <x v="2"/>
    <x v="20"/>
    <x v="1"/>
    <x v="5"/>
    <x v="1"/>
    <x v="1"/>
    <n v="19"/>
    <x v="1"/>
    <x v="6"/>
  </r>
  <r>
    <n v="1706"/>
    <x v="31"/>
    <x v="0"/>
    <x v="16"/>
    <x v="3"/>
    <n v="29"/>
    <s v="South Dakota"/>
    <x v="0"/>
    <x v="17"/>
    <x v="2"/>
    <x v="23"/>
    <x v="1"/>
    <x v="4"/>
    <x v="1"/>
    <x v="1"/>
    <n v="49"/>
    <x v="0"/>
    <x v="4"/>
  </r>
  <r>
    <n v="1707"/>
    <x v="43"/>
    <x v="0"/>
    <x v="12"/>
    <x v="3"/>
    <n v="87"/>
    <s v="North Dakota"/>
    <x v="2"/>
    <x v="18"/>
    <x v="1"/>
    <x v="21"/>
    <x v="1"/>
    <x v="3"/>
    <x v="1"/>
    <x v="1"/>
    <n v="25"/>
    <x v="0"/>
    <x v="0"/>
  </r>
  <r>
    <n v="1708"/>
    <x v="15"/>
    <x v="0"/>
    <x v="6"/>
    <x v="0"/>
    <n v="81"/>
    <s v="Nevada"/>
    <x v="0"/>
    <x v="1"/>
    <x v="3"/>
    <x v="8"/>
    <x v="1"/>
    <x v="4"/>
    <x v="1"/>
    <x v="1"/>
    <n v="25"/>
    <x v="1"/>
    <x v="4"/>
  </r>
  <r>
    <n v="1709"/>
    <x v="25"/>
    <x v="0"/>
    <x v="23"/>
    <x v="1"/>
    <n v="58"/>
    <s v="Florida"/>
    <x v="0"/>
    <x v="17"/>
    <x v="1"/>
    <x v="4"/>
    <x v="1"/>
    <x v="0"/>
    <x v="1"/>
    <x v="1"/>
    <n v="1"/>
    <x v="2"/>
    <x v="3"/>
  </r>
  <r>
    <n v="1710"/>
    <x v="4"/>
    <x v="0"/>
    <x v="11"/>
    <x v="0"/>
    <n v="83"/>
    <s v="Indiana"/>
    <x v="2"/>
    <x v="6"/>
    <x v="0"/>
    <x v="22"/>
    <x v="1"/>
    <x v="3"/>
    <x v="1"/>
    <x v="1"/>
    <n v="19"/>
    <x v="4"/>
    <x v="2"/>
  </r>
  <r>
    <n v="1711"/>
    <x v="1"/>
    <x v="0"/>
    <x v="13"/>
    <x v="0"/>
    <n v="59"/>
    <s v="Arkansas"/>
    <x v="3"/>
    <x v="20"/>
    <x v="3"/>
    <x v="22"/>
    <x v="1"/>
    <x v="5"/>
    <x v="1"/>
    <x v="1"/>
    <n v="7"/>
    <x v="2"/>
    <x v="3"/>
  </r>
  <r>
    <n v="1712"/>
    <x v="3"/>
    <x v="0"/>
    <x v="17"/>
    <x v="0"/>
    <n v="93"/>
    <s v="North Carolina"/>
    <x v="2"/>
    <x v="12"/>
    <x v="1"/>
    <x v="10"/>
    <x v="1"/>
    <x v="0"/>
    <x v="1"/>
    <x v="1"/>
    <n v="19"/>
    <x v="2"/>
    <x v="5"/>
  </r>
  <r>
    <n v="1713"/>
    <x v="13"/>
    <x v="0"/>
    <x v="17"/>
    <x v="0"/>
    <n v="87"/>
    <s v="Illinois"/>
    <x v="1"/>
    <x v="19"/>
    <x v="3"/>
    <x v="22"/>
    <x v="1"/>
    <x v="4"/>
    <x v="1"/>
    <x v="1"/>
    <n v="9"/>
    <x v="1"/>
    <x v="0"/>
  </r>
  <r>
    <n v="1714"/>
    <x v="34"/>
    <x v="0"/>
    <x v="14"/>
    <x v="2"/>
    <n v="22"/>
    <s v="Missouri"/>
    <x v="2"/>
    <x v="6"/>
    <x v="0"/>
    <x v="12"/>
    <x v="1"/>
    <x v="1"/>
    <x v="1"/>
    <x v="1"/>
    <n v="37"/>
    <x v="3"/>
    <x v="3"/>
  </r>
  <r>
    <n v="1715"/>
    <x v="11"/>
    <x v="0"/>
    <x v="2"/>
    <x v="0"/>
    <n v="71"/>
    <s v="South Dakota"/>
    <x v="1"/>
    <x v="4"/>
    <x v="2"/>
    <x v="14"/>
    <x v="1"/>
    <x v="3"/>
    <x v="1"/>
    <x v="1"/>
    <n v="15"/>
    <x v="1"/>
    <x v="5"/>
  </r>
  <r>
    <n v="1716"/>
    <x v="51"/>
    <x v="0"/>
    <x v="10"/>
    <x v="0"/>
    <n v="69"/>
    <s v="Idaho"/>
    <x v="3"/>
    <x v="0"/>
    <x v="1"/>
    <x v="23"/>
    <x v="1"/>
    <x v="4"/>
    <x v="1"/>
    <x v="1"/>
    <n v="30"/>
    <x v="3"/>
    <x v="4"/>
  </r>
  <r>
    <n v="1717"/>
    <x v="28"/>
    <x v="0"/>
    <x v="0"/>
    <x v="0"/>
    <n v="47"/>
    <s v="Connecticut"/>
    <x v="2"/>
    <x v="17"/>
    <x v="0"/>
    <x v="10"/>
    <x v="1"/>
    <x v="3"/>
    <x v="1"/>
    <x v="1"/>
    <n v="30"/>
    <x v="1"/>
    <x v="6"/>
  </r>
  <r>
    <n v="1718"/>
    <x v="26"/>
    <x v="0"/>
    <x v="15"/>
    <x v="0"/>
    <n v="50"/>
    <s v="Hawaii"/>
    <x v="0"/>
    <x v="20"/>
    <x v="2"/>
    <x v="3"/>
    <x v="1"/>
    <x v="0"/>
    <x v="1"/>
    <x v="1"/>
    <n v="16"/>
    <x v="5"/>
    <x v="4"/>
  </r>
  <r>
    <n v="1719"/>
    <x v="22"/>
    <x v="0"/>
    <x v="17"/>
    <x v="0"/>
    <n v="96"/>
    <s v="Maryland"/>
    <x v="0"/>
    <x v="6"/>
    <x v="0"/>
    <x v="23"/>
    <x v="1"/>
    <x v="4"/>
    <x v="1"/>
    <x v="1"/>
    <n v="14"/>
    <x v="3"/>
    <x v="6"/>
  </r>
  <r>
    <n v="1720"/>
    <x v="4"/>
    <x v="0"/>
    <x v="1"/>
    <x v="0"/>
    <n v="39"/>
    <s v="Maryland"/>
    <x v="2"/>
    <x v="3"/>
    <x v="0"/>
    <x v="4"/>
    <x v="1"/>
    <x v="1"/>
    <x v="1"/>
    <x v="1"/>
    <n v="8"/>
    <x v="0"/>
    <x v="3"/>
  </r>
  <r>
    <n v="1721"/>
    <x v="15"/>
    <x v="0"/>
    <x v="6"/>
    <x v="0"/>
    <n v="84"/>
    <s v="Massachusetts"/>
    <x v="1"/>
    <x v="19"/>
    <x v="0"/>
    <x v="11"/>
    <x v="1"/>
    <x v="0"/>
    <x v="1"/>
    <x v="1"/>
    <n v="40"/>
    <x v="5"/>
    <x v="4"/>
  </r>
  <r>
    <n v="1722"/>
    <x v="50"/>
    <x v="0"/>
    <x v="16"/>
    <x v="3"/>
    <n v="28"/>
    <s v="Delaware"/>
    <x v="1"/>
    <x v="23"/>
    <x v="1"/>
    <x v="24"/>
    <x v="1"/>
    <x v="1"/>
    <x v="1"/>
    <x v="1"/>
    <n v="24"/>
    <x v="2"/>
    <x v="5"/>
  </r>
  <r>
    <n v="1723"/>
    <x v="5"/>
    <x v="0"/>
    <x v="17"/>
    <x v="0"/>
    <n v="51"/>
    <s v="Massachusetts"/>
    <x v="0"/>
    <x v="10"/>
    <x v="2"/>
    <x v="13"/>
    <x v="1"/>
    <x v="3"/>
    <x v="1"/>
    <x v="1"/>
    <n v="14"/>
    <x v="1"/>
    <x v="0"/>
  </r>
  <r>
    <n v="1724"/>
    <x v="27"/>
    <x v="0"/>
    <x v="18"/>
    <x v="3"/>
    <n v="20"/>
    <s v="New York"/>
    <x v="3"/>
    <x v="9"/>
    <x v="1"/>
    <x v="13"/>
    <x v="1"/>
    <x v="3"/>
    <x v="1"/>
    <x v="1"/>
    <n v="39"/>
    <x v="3"/>
    <x v="2"/>
  </r>
  <r>
    <n v="1725"/>
    <x v="32"/>
    <x v="0"/>
    <x v="9"/>
    <x v="1"/>
    <n v="72"/>
    <s v="Delaware"/>
    <x v="1"/>
    <x v="11"/>
    <x v="0"/>
    <x v="13"/>
    <x v="1"/>
    <x v="1"/>
    <x v="1"/>
    <x v="1"/>
    <n v="21"/>
    <x v="3"/>
    <x v="1"/>
  </r>
  <r>
    <n v="1726"/>
    <x v="4"/>
    <x v="0"/>
    <x v="12"/>
    <x v="3"/>
    <n v="33"/>
    <s v="Massachusetts"/>
    <x v="2"/>
    <x v="21"/>
    <x v="1"/>
    <x v="21"/>
    <x v="1"/>
    <x v="2"/>
    <x v="1"/>
    <x v="1"/>
    <n v="32"/>
    <x v="0"/>
    <x v="3"/>
  </r>
  <r>
    <n v="1727"/>
    <x v="9"/>
    <x v="0"/>
    <x v="7"/>
    <x v="2"/>
    <n v="28"/>
    <s v="Indiana"/>
    <x v="1"/>
    <x v="8"/>
    <x v="2"/>
    <x v="11"/>
    <x v="1"/>
    <x v="0"/>
    <x v="1"/>
    <x v="1"/>
    <n v="45"/>
    <x v="5"/>
    <x v="1"/>
  </r>
  <r>
    <n v="1728"/>
    <x v="34"/>
    <x v="0"/>
    <x v="0"/>
    <x v="0"/>
    <n v="53"/>
    <s v="Virginia"/>
    <x v="1"/>
    <x v="10"/>
    <x v="1"/>
    <x v="17"/>
    <x v="1"/>
    <x v="0"/>
    <x v="1"/>
    <x v="1"/>
    <n v="19"/>
    <x v="3"/>
    <x v="5"/>
  </r>
  <r>
    <n v="1729"/>
    <x v="51"/>
    <x v="0"/>
    <x v="2"/>
    <x v="0"/>
    <n v="48"/>
    <s v="Wyoming"/>
    <x v="0"/>
    <x v="13"/>
    <x v="3"/>
    <x v="24"/>
    <x v="1"/>
    <x v="0"/>
    <x v="1"/>
    <x v="1"/>
    <n v="1"/>
    <x v="5"/>
    <x v="6"/>
  </r>
  <r>
    <n v="1730"/>
    <x v="36"/>
    <x v="0"/>
    <x v="6"/>
    <x v="0"/>
    <n v="21"/>
    <s v="Illinois"/>
    <x v="2"/>
    <x v="18"/>
    <x v="0"/>
    <x v="22"/>
    <x v="1"/>
    <x v="5"/>
    <x v="1"/>
    <x v="1"/>
    <n v="12"/>
    <x v="0"/>
    <x v="0"/>
  </r>
  <r>
    <n v="1731"/>
    <x v="51"/>
    <x v="0"/>
    <x v="5"/>
    <x v="0"/>
    <n v="22"/>
    <s v="Alabama"/>
    <x v="1"/>
    <x v="5"/>
    <x v="3"/>
    <x v="19"/>
    <x v="1"/>
    <x v="1"/>
    <x v="1"/>
    <x v="1"/>
    <n v="26"/>
    <x v="2"/>
    <x v="1"/>
  </r>
  <r>
    <n v="1732"/>
    <x v="3"/>
    <x v="0"/>
    <x v="21"/>
    <x v="3"/>
    <n v="87"/>
    <s v="Idaho"/>
    <x v="2"/>
    <x v="0"/>
    <x v="3"/>
    <x v="0"/>
    <x v="1"/>
    <x v="2"/>
    <x v="1"/>
    <x v="1"/>
    <n v="12"/>
    <x v="1"/>
    <x v="5"/>
  </r>
  <r>
    <n v="1733"/>
    <x v="4"/>
    <x v="0"/>
    <x v="22"/>
    <x v="3"/>
    <n v="50"/>
    <s v="Rhode Island"/>
    <x v="1"/>
    <x v="4"/>
    <x v="0"/>
    <x v="5"/>
    <x v="1"/>
    <x v="1"/>
    <x v="1"/>
    <x v="1"/>
    <n v="36"/>
    <x v="1"/>
    <x v="6"/>
  </r>
  <r>
    <n v="1734"/>
    <x v="29"/>
    <x v="0"/>
    <x v="0"/>
    <x v="0"/>
    <n v="85"/>
    <s v="New York"/>
    <x v="0"/>
    <x v="13"/>
    <x v="2"/>
    <x v="23"/>
    <x v="1"/>
    <x v="0"/>
    <x v="1"/>
    <x v="1"/>
    <n v="22"/>
    <x v="2"/>
    <x v="2"/>
  </r>
  <r>
    <n v="1735"/>
    <x v="18"/>
    <x v="0"/>
    <x v="2"/>
    <x v="0"/>
    <n v="98"/>
    <s v="Missouri"/>
    <x v="0"/>
    <x v="18"/>
    <x v="1"/>
    <x v="0"/>
    <x v="1"/>
    <x v="2"/>
    <x v="1"/>
    <x v="1"/>
    <n v="16"/>
    <x v="3"/>
    <x v="3"/>
  </r>
  <r>
    <n v="1736"/>
    <x v="44"/>
    <x v="0"/>
    <x v="10"/>
    <x v="0"/>
    <n v="34"/>
    <s v="Texas"/>
    <x v="2"/>
    <x v="7"/>
    <x v="0"/>
    <x v="15"/>
    <x v="1"/>
    <x v="0"/>
    <x v="1"/>
    <x v="1"/>
    <n v="31"/>
    <x v="0"/>
    <x v="2"/>
  </r>
  <r>
    <n v="1737"/>
    <x v="9"/>
    <x v="0"/>
    <x v="6"/>
    <x v="0"/>
    <n v="61"/>
    <s v="Tennessee"/>
    <x v="2"/>
    <x v="7"/>
    <x v="2"/>
    <x v="5"/>
    <x v="1"/>
    <x v="4"/>
    <x v="1"/>
    <x v="1"/>
    <n v="43"/>
    <x v="1"/>
    <x v="3"/>
  </r>
  <r>
    <n v="1738"/>
    <x v="32"/>
    <x v="0"/>
    <x v="16"/>
    <x v="3"/>
    <n v="98"/>
    <s v="Ohio"/>
    <x v="0"/>
    <x v="0"/>
    <x v="2"/>
    <x v="19"/>
    <x v="1"/>
    <x v="5"/>
    <x v="1"/>
    <x v="1"/>
    <n v="50"/>
    <x v="0"/>
    <x v="4"/>
  </r>
  <r>
    <n v="1739"/>
    <x v="52"/>
    <x v="0"/>
    <x v="8"/>
    <x v="3"/>
    <n v="61"/>
    <s v="Tennessee"/>
    <x v="2"/>
    <x v="14"/>
    <x v="1"/>
    <x v="3"/>
    <x v="1"/>
    <x v="4"/>
    <x v="1"/>
    <x v="1"/>
    <n v="37"/>
    <x v="2"/>
    <x v="1"/>
  </r>
  <r>
    <n v="1740"/>
    <x v="3"/>
    <x v="0"/>
    <x v="16"/>
    <x v="3"/>
    <n v="98"/>
    <s v="Minnesota"/>
    <x v="0"/>
    <x v="5"/>
    <x v="0"/>
    <x v="19"/>
    <x v="1"/>
    <x v="0"/>
    <x v="1"/>
    <x v="1"/>
    <n v="23"/>
    <x v="1"/>
    <x v="1"/>
  </r>
  <r>
    <n v="1741"/>
    <x v="28"/>
    <x v="0"/>
    <x v="13"/>
    <x v="0"/>
    <n v="21"/>
    <s v="Wisconsin"/>
    <x v="0"/>
    <x v="4"/>
    <x v="3"/>
    <x v="13"/>
    <x v="1"/>
    <x v="2"/>
    <x v="1"/>
    <x v="1"/>
    <n v="10"/>
    <x v="4"/>
    <x v="6"/>
  </r>
  <r>
    <n v="1742"/>
    <x v="38"/>
    <x v="0"/>
    <x v="13"/>
    <x v="0"/>
    <n v="51"/>
    <s v="Delaware"/>
    <x v="3"/>
    <x v="11"/>
    <x v="0"/>
    <x v="15"/>
    <x v="1"/>
    <x v="2"/>
    <x v="1"/>
    <x v="1"/>
    <n v="20"/>
    <x v="4"/>
    <x v="5"/>
  </r>
  <r>
    <n v="1743"/>
    <x v="47"/>
    <x v="0"/>
    <x v="3"/>
    <x v="1"/>
    <n v="80"/>
    <s v="Kansas"/>
    <x v="3"/>
    <x v="3"/>
    <x v="1"/>
    <x v="24"/>
    <x v="1"/>
    <x v="0"/>
    <x v="1"/>
    <x v="1"/>
    <n v="18"/>
    <x v="0"/>
    <x v="6"/>
  </r>
  <r>
    <n v="1744"/>
    <x v="51"/>
    <x v="0"/>
    <x v="11"/>
    <x v="0"/>
    <n v="72"/>
    <s v="Missouri"/>
    <x v="3"/>
    <x v="18"/>
    <x v="0"/>
    <x v="13"/>
    <x v="1"/>
    <x v="3"/>
    <x v="1"/>
    <x v="1"/>
    <n v="3"/>
    <x v="4"/>
    <x v="1"/>
  </r>
  <r>
    <n v="1745"/>
    <x v="9"/>
    <x v="0"/>
    <x v="12"/>
    <x v="3"/>
    <n v="63"/>
    <s v="Michigan"/>
    <x v="0"/>
    <x v="11"/>
    <x v="0"/>
    <x v="21"/>
    <x v="1"/>
    <x v="3"/>
    <x v="1"/>
    <x v="1"/>
    <n v="23"/>
    <x v="3"/>
    <x v="1"/>
  </r>
  <r>
    <n v="1746"/>
    <x v="37"/>
    <x v="0"/>
    <x v="11"/>
    <x v="0"/>
    <n v="27"/>
    <s v="West Virginia"/>
    <x v="0"/>
    <x v="16"/>
    <x v="0"/>
    <x v="15"/>
    <x v="1"/>
    <x v="5"/>
    <x v="1"/>
    <x v="1"/>
    <n v="27"/>
    <x v="1"/>
    <x v="1"/>
  </r>
  <r>
    <n v="1747"/>
    <x v="13"/>
    <x v="0"/>
    <x v="8"/>
    <x v="3"/>
    <n v="44"/>
    <s v="Alabama"/>
    <x v="0"/>
    <x v="18"/>
    <x v="2"/>
    <x v="0"/>
    <x v="1"/>
    <x v="5"/>
    <x v="1"/>
    <x v="1"/>
    <n v="44"/>
    <x v="4"/>
    <x v="0"/>
  </r>
  <r>
    <n v="1748"/>
    <x v="12"/>
    <x v="0"/>
    <x v="7"/>
    <x v="2"/>
    <n v="23"/>
    <s v="New Hampshire"/>
    <x v="2"/>
    <x v="22"/>
    <x v="0"/>
    <x v="3"/>
    <x v="1"/>
    <x v="0"/>
    <x v="1"/>
    <x v="1"/>
    <n v="41"/>
    <x v="0"/>
    <x v="3"/>
  </r>
  <r>
    <n v="1749"/>
    <x v="50"/>
    <x v="0"/>
    <x v="11"/>
    <x v="0"/>
    <n v="93"/>
    <s v="Montana"/>
    <x v="0"/>
    <x v="11"/>
    <x v="0"/>
    <x v="20"/>
    <x v="1"/>
    <x v="4"/>
    <x v="1"/>
    <x v="1"/>
    <n v="41"/>
    <x v="4"/>
    <x v="2"/>
  </r>
  <r>
    <n v="1750"/>
    <x v="49"/>
    <x v="0"/>
    <x v="15"/>
    <x v="0"/>
    <n v="70"/>
    <s v="Wyoming"/>
    <x v="0"/>
    <x v="6"/>
    <x v="3"/>
    <x v="4"/>
    <x v="1"/>
    <x v="4"/>
    <x v="1"/>
    <x v="1"/>
    <n v="36"/>
    <x v="5"/>
    <x v="6"/>
  </r>
  <r>
    <n v="1751"/>
    <x v="18"/>
    <x v="0"/>
    <x v="12"/>
    <x v="3"/>
    <n v="85"/>
    <s v="Missouri"/>
    <x v="2"/>
    <x v="3"/>
    <x v="3"/>
    <x v="0"/>
    <x v="1"/>
    <x v="0"/>
    <x v="1"/>
    <x v="1"/>
    <n v="38"/>
    <x v="0"/>
    <x v="6"/>
  </r>
  <r>
    <n v="1752"/>
    <x v="9"/>
    <x v="0"/>
    <x v="1"/>
    <x v="0"/>
    <n v="40"/>
    <s v="Ohio"/>
    <x v="2"/>
    <x v="5"/>
    <x v="0"/>
    <x v="4"/>
    <x v="1"/>
    <x v="4"/>
    <x v="1"/>
    <x v="1"/>
    <n v="34"/>
    <x v="1"/>
    <x v="2"/>
  </r>
  <r>
    <n v="1753"/>
    <x v="50"/>
    <x v="0"/>
    <x v="23"/>
    <x v="1"/>
    <n v="29"/>
    <s v="South Dakota"/>
    <x v="0"/>
    <x v="24"/>
    <x v="0"/>
    <x v="13"/>
    <x v="1"/>
    <x v="5"/>
    <x v="1"/>
    <x v="1"/>
    <n v="14"/>
    <x v="0"/>
    <x v="3"/>
  </r>
  <r>
    <n v="1754"/>
    <x v="15"/>
    <x v="0"/>
    <x v="11"/>
    <x v="0"/>
    <n v="27"/>
    <s v="Colorado"/>
    <x v="0"/>
    <x v="13"/>
    <x v="3"/>
    <x v="6"/>
    <x v="1"/>
    <x v="2"/>
    <x v="1"/>
    <x v="1"/>
    <n v="23"/>
    <x v="2"/>
    <x v="0"/>
  </r>
  <r>
    <n v="1755"/>
    <x v="17"/>
    <x v="0"/>
    <x v="10"/>
    <x v="0"/>
    <n v="93"/>
    <s v="Massachusetts"/>
    <x v="1"/>
    <x v="19"/>
    <x v="3"/>
    <x v="22"/>
    <x v="1"/>
    <x v="4"/>
    <x v="1"/>
    <x v="1"/>
    <n v="18"/>
    <x v="2"/>
    <x v="0"/>
  </r>
  <r>
    <n v="1756"/>
    <x v="19"/>
    <x v="0"/>
    <x v="22"/>
    <x v="3"/>
    <n v="20"/>
    <s v="Delaware"/>
    <x v="3"/>
    <x v="4"/>
    <x v="1"/>
    <x v="12"/>
    <x v="1"/>
    <x v="2"/>
    <x v="1"/>
    <x v="1"/>
    <n v="45"/>
    <x v="1"/>
    <x v="5"/>
  </r>
  <r>
    <n v="1757"/>
    <x v="34"/>
    <x v="0"/>
    <x v="16"/>
    <x v="3"/>
    <n v="55"/>
    <s v="New Hampshire"/>
    <x v="1"/>
    <x v="17"/>
    <x v="3"/>
    <x v="11"/>
    <x v="1"/>
    <x v="1"/>
    <x v="1"/>
    <x v="1"/>
    <n v="14"/>
    <x v="4"/>
    <x v="1"/>
  </r>
  <r>
    <n v="1758"/>
    <x v="1"/>
    <x v="0"/>
    <x v="10"/>
    <x v="0"/>
    <n v="94"/>
    <s v="Michigan"/>
    <x v="0"/>
    <x v="22"/>
    <x v="3"/>
    <x v="15"/>
    <x v="1"/>
    <x v="3"/>
    <x v="1"/>
    <x v="1"/>
    <n v="48"/>
    <x v="5"/>
    <x v="2"/>
  </r>
  <r>
    <n v="1759"/>
    <x v="7"/>
    <x v="0"/>
    <x v="19"/>
    <x v="3"/>
    <n v="56"/>
    <s v="Pennsylvania"/>
    <x v="2"/>
    <x v="5"/>
    <x v="0"/>
    <x v="24"/>
    <x v="1"/>
    <x v="1"/>
    <x v="1"/>
    <x v="1"/>
    <n v="17"/>
    <x v="0"/>
    <x v="4"/>
  </r>
  <r>
    <n v="1760"/>
    <x v="33"/>
    <x v="0"/>
    <x v="1"/>
    <x v="0"/>
    <n v="58"/>
    <s v="Louisiana"/>
    <x v="0"/>
    <x v="14"/>
    <x v="1"/>
    <x v="17"/>
    <x v="1"/>
    <x v="2"/>
    <x v="1"/>
    <x v="1"/>
    <n v="1"/>
    <x v="3"/>
    <x v="1"/>
  </r>
  <r>
    <n v="1761"/>
    <x v="30"/>
    <x v="0"/>
    <x v="11"/>
    <x v="0"/>
    <n v="44"/>
    <s v="Minnesota"/>
    <x v="3"/>
    <x v="15"/>
    <x v="1"/>
    <x v="1"/>
    <x v="1"/>
    <x v="3"/>
    <x v="1"/>
    <x v="1"/>
    <n v="39"/>
    <x v="3"/>
    <x v="1"/>
  </r>
  <r>
    <n v="1762"/>
    <x v="3"/>
    <x v="0"/>
    <x v="15"/>
    <x v="0"/>
    <n v="95"/>
    <s v="Hawaii"/>
    <x v="1"/>
    <x v="14"/>
    <x v="3"/>
    <x v="8"/>
    <x v="1"/>
    <x v="4"/>
    <x v="1"/>
    <x v="1"/>
    <n v="24"/>
    <x v="1"/>
    <x v="1"/>
  </r>
  <r>
    <n v="1763"/>
    <x v="24"/>
    <x v="0"/>
    <x v="3"/>
    <x v="1"/>
    <n v="42"/>
    <s v="Idaho"/>
    <x v="2"/>
    <x v="18"/>
    <x v="2"/>
    <x v="0"/>
    <x v="1"/>
    <x v="0"/>
    <x v="1"/>
    <x v="1"/>
    <n v="41"/>
    <x v="4"/>
    <x v="0"/>
  </r>
  <r>
    <n v="1764"/>
    <x v="43"/>
    <x v="0"/>
    <x v="16"/>
    <x v="3"/>
    <n v="93"/>
    <s v="Vermont"/>
    <x v="2"/>
    <x v="12"/>
    <x v="0"/>
    <x v="20"/>
    <x v="1"/>
    <x v="5"/>
    <x v="1"/>
    <x v="1"/>
    <n v="28"/>
    <x v="3"/>
    <x v="2"/>
  </r>
  <r>
    <n v="1765"/>
    <x v="12"/>
    <x v="0"/>
    <x v="10"/>
    <x v="0"/>
    <n v="56"/>
    <s v="Delaware"/>
    <x v="2"/>
    <x v="4"/>
    <x v="2"/>
    <x v="21"/>
    <x v="1"/>
    <x v="5"/>
    <x v="1"/>
    <x v="1"/>
    <n v="34"/>
    <x v="0"/>
    <x v="3"/>
  </r>
  <r>
    <n v="1766"/>
    <x v="33"/>
    <x v="0"/>
    <x v="15"/>
    <x v="0"/>
    <n v="88"/>
    <s v="New Mexico"/>
    <x v="2"/>
    <x v="20"/>
    <x v="1"/>
    <x v="7"/>
    <x v="1"/>
    <x v="4"/>
    <x v="1"/>
    <x v="1"/>
    <n v="41"/>
    <x v="0"/>
    <x v="3"/>
  </r>
  <r>
    <n v="1767"/>
    <x v="52"/>
    <x v="0"/>
    <x v="1"/>
    <x v="0"/>
    <n v="54"/>
    <s v="Alaska"/>
    <x v="1"/>
    <x v="17"/>
    <x v="0"/>
    <x v="24"/>
    <x v="1"/>
    <x v="4"/>
    <x v="1"/>
    <x v="1"/>
    <n v="27"/>
    <x v="1"/>
    <x v="4"/>
  </r>
  <r>
    <n v="1768"/>
    <x v="28"/>
    <x v="0"/>
    <x v="16"/>
    <x v="3"/>
    <n v="89"/>
    <s v="Minnesota"/>
    <x v="0"/>
    <x v="12"/>
    <x v="3"/>
    <x v="22"/>
    <x v="1"/>
    <x v="4"/>
    <x v="1"/>
    <x v="1"/>
    <n v="46"/>
    <x v="5"/>
    <x v="0"/>
  </r>
  <r>
    <n v="1769"/>
    <x v="15"/>
    <x v="0"/>
    <x v="3"/>
    <x v="1"/>
    <n v="45"/>
    <s v="Nebraska"/>
    <x v="2"/>
    <x v="21"/>
    <x v="2"/>
    <x v="20"/>
    <x v="1"/>
    <x v="4"/>
    <x v="1"/>
    <x v="1"/>
    <n v="2"/>
    <x v="3"/>
    <x v="6"/>
  </r>
  <r>
    <n v="1770"/>
    <x v="45"/>
    <x v="0"/>
    <x v="20"/>
    <x v="0"/>
    <n v="75"/>
    <s v="Alaska"/>
    <x v="0"/>
    <x v="18"/>
    <x v="0"/>
    <x v="24"/>
    <x v="1"/>
    <x v="1"/>
    <x v="1"/>
    <x v="1"/>
    <n v="45"/>
    <x v="1"/>
    <x v="5"/>
  </r>
  <r>
    <n v="1771"/>
    <x v="10"/>
    <x v="0"/>
    <x v="21"/>
    <x v="3"/>
    <n v="22"/>
    <s v="Michigan"/>
    <x v="2"/>
    <x v="6"/>
    <x v="3"/>
    <x v="24"/>
    <x v="1"/>
    <x v="0"/>
    <x v="1"/>
    <x v="1"/>
    <n v="34"/>
    <x v="4"/>
    <x v="1"/>
  </r>
  <r>
    <n v="1772"/>
    <x v="5"/>
    <x v="0"/>
    <x v="5"/>
    <x v="0"/>
    <n v="82"/>
    <s v="Indiana"/>
    <x v="3"/>
    <x v="2"/>
    <x v="3"/>
    <x v="10"/>
    <x v="1"/>
    <x v="5"/>
    <x v="1"/>
    <x v="1"/>
    <n v="9"/>
    <x v="2"/>
    <x v="2"/>
  </r>
  <r>
    <n v="1773"/>
    <x v="44"/>
    <x v="0"/>
    <x v="9"/>
    <x v="1"/>
    <n v="34"/>
    <s v="Hawaii"/>
    <x v="2"/>
    <x v="9"/>
    <x v="2"/>
    <x v="0"/>
    <x v="1"/>
    <x v="4"/>
    <x v="1"/>
    <x v="1"/>
    <n v="1"/>
    <x v="4"/>
    <x v="2"/>
  </r>
  <r>
    <n v="1774"/>
    <x v="3"/>
    <x v="0"/>
    <x v="7"/>
    <x v="2"/>
    <n v="92"/>
    <s v="West Virginia"/>
    <x v="2"/>
    <x v="24"/>
    <x v="2"/>
    <x v="2"/>
    <x v="1"/>
    <x v="1"/>
    <x v="1"/>
    <x v="1"/>
    <n v="17"/>
    <x v="3"/>
    <x v="2"/>
  </r>
  <r>
    <n v="1775"/>
    <x v="5"/>
    <x v="0"/>
    <x v="1"/>
    <x v="0"/>
    <n v="78"/>
    <s v="New York"/>
    <x v="2"/>
    <x v="12"/>
    <x v="1"/>
    <x v="18"/>
    <x v="1"/>
    <x v="0"/>
    <x v="1"/>
    <x v="1"/>
    <n v="6"/>
    <x v="3"/>
    <x v="1"/>
  </r>
  <r>
    <n v="1776"/>
    <x v="20"/>
    <x v="0"/>
    <x v="14"/>
    <x v="2"/>
    <n v="47"/>
    <s v="Iowa"/>
    <x v="2"/>
    <x v="10"/>
    <x v="1"/>
    <x v="13"/>
    <x v="1"/>
    <x v="4"/>
    <x v="1"/>
    <x v="1"/>
    <n v="12"/>
    <x v="1"/>
    <x v="4"/>
  </r>
  <r>
    <n v="1777"/>
    <x v="19"/>
    <x v="0"/>
    <x v="14"/>
    <x v="2"/>
    <n v="64"/>
    <s v="Arizona"/>
    <x v="0"/>
    <x v="17"/>
    <x v="2"/>
    <x v="23"/>
    <x v="1"/>
    <x v="1"/>
    <x v="1"/>
    <x v="1"/>
    <n v="10"/>
    <x v="0"/>
    <x v="6"/>
  </r>
  <r>
    <n v="1778"/>
    <x v="20"/>
    <x v="0"/>
    <x v="4"/>
    <x v="1"/>
    <n v="44"/>
    <s v="Minnesota"/>
    <x v="0"/>
    <x v="7"/>
    <x v="0"/>
    <x v="10"/>
    <x v="1"/>
    <x v="1"/>
    <x v="1"/>
    <x v="1"/>
    <n v="4"/>
    <x v="1"/>
    <x v="0"/>
  </r>
  <r>
    <n v="1779"/>
    <x v="34"/>
    <x v="0"/>
    <x v="22"/>
    <x v="3"/>
    <n v="94"/>
    <s v="Texas"/>
    <x v="2"/>
    <x v="16"/>
    <x v="0"/>
    <x v="8"/>
    <x v="1"/>
    <x v="5"/>
    <x v="1"/>
    <x v="1"/>
    <n v="8"/>
    <x v="5"/>
    <x v="4"/>
  </r>
  <r>
    <n v="1780"/>
    <x v="26"/>
    <x v="0"/>
    <x v="18"/>
    <x v="3"/>
    <n v="62"/>
    <s v="Virginia"/>
    <x v="2"/>
    <x v="4"/>
    <x v="0"/>
    <x v="24"/>
    <x v="1"/>
    <x v="1"/>
    <x v="1"/>
    <x v="1"/>
    <n v="41"/>
    <x v="0"/>
    <x v="1"/>
  </r>
  <r>
    <n v="1781"/>
    <x v="29"/>
    <x v="0"/>
    <x v="16"/>
    <x v="3"/>
    <n v="81"/>
    <s v="North Dakota"/>
    <x v="1"/>
    <x v="0"/>
    <x v="2"/>
    <x v="19"/>
    <x v="1"/>
    <x v="2"/>
    <x v="1"/>
    <x v="1"/>
    <n v="49"/>
    <x v="2"/>
    <x v="1"/>
  </r>
  <r>
    <n v="1782"/>
    <x v="18"/>
    <x v="0"/>
    <x v="17"/>
    <x v="0"/>
    <n v="33"/>
    <s v="Iowa"/>
    <x v="2"/>
    <x v="6"/>
    <x v="3"/>
    <x v="18"/>
    <x v="1"/>
    <x v="0"/>
    <x v="1"/>
    <x v="1"/>
    <n v="49"/>
    <x v="4"/>
    <x v="3"/>
  </r>
  <r>
    <n v="1783"/>
    <x v="16"/>
    <x v="0"/>
    <x v="13"/>
    <x v="0"/>
    <n v="88"/>
    <s v="Utah"/>
    <x v="2"/>
    <x v="12"/>
    <x v="3"/>
    <x v="2"/>
    <x v="1"/>
    <x v="2"/>
    <x v="1"/>
    <x v="1"/>
    <n v="40"/>
    <x v="4"/>
    <x v="0"/>
  </r>
  <r>
    <n v="1784"/>
    <x v="32"/>
    <x v="0"/>
    <x v="8"/>
    <x v="3"/>
    <n v="49"/>
    <s v="Ohio"/>
    <x v="0"/>
    <x v="12"/>
    <x v="0"/>
    <x v="13"/>
    <x v="1"/>
    <x v="1"/>
    <x v="1"/>
    <x v="1"/>
    <n v="30"/>
    <x v="2"/>
    <x v="5"/>
  </r>
  <r>
    <n v="1785"/>
    <x v="45"/>
    <x v="0"/>
    <x v="21"/>
    <x v="3"/>
    <n v="31"/>
    <s v="Louisiana"/>
    <x v="0"/>
    <x v="22"/>
    <x v="2"/>
    <x v="6"/>
    <x v="1"/>
    <x v="3"/>
    <x v="1"/>
    <x v="1"/>
    <n v="4"/>
    <x v="5"/>
    <x v="3"/>
  </r>
  <r>
    <n v="1786"/>
    <x v="36"/>
    <x v="0"/>
    <x v="24"/>
    <x v="3"/>
    <n v="29"/>
    <s v="Iowa"/>
    <x v="1"/>
    <x v="15"/>
    <x v="3"/>
    <x v="7"/>
    <x v="1"/>
    <x v="2"/>
    <x v="1"/>
    <x v="1"/>
    <n v="22"/>
    <x v="0"/>
    <x v="5"/>
  </r>
  <r>
    <n v="1787"/>
    <x v="4"/>
    <x v="0"/>
    <x v="14"/>
    <x v="2"/>
    <n v="34"/>
    <s v="Maryland"/>
    <x v="2"/>
    <x v="18"/>
    <x v="1"/>
    <x v="12"/>
    <x v="1"/>
    <x v="4"/>
    <x v="1"/>
    <x v="1"/>
    <n v="22"/>
    <x v="0"/>
    <x v="5"/>
  </r>
  <r>
    <n v="1788"/>
    <x v="30"/>
    <x v="0"/>
    <x v="1"/>
    <x v="0"/>
    <n v="38"/>
    <s v="Montana"/>
    <x v="0"/>
    <x v="9"/>
    <x v="3"/>
    <x v="8"/>
    <x v="1"/>
    <x v="4"/>
    <x v="1"/>
    <x v="1"/>
    <n v="10"/>
    <x v="4"/>
    <x v="3"/>
  </r>
  <r>
    <n v="1789"/>
    <x v="17"/>
    <x v="0"/>
    <x v="0"/>
    <x v="0"/>
    <n v="41"/>
    <s v="Illinois"/>
    <x v="0"/>
    <x v="6"/>
    <x v="2"/>
    <x v="0"/>
    <x v="1"/>
    <x v="5"/>
    <x v="1"/>
    <x v="1"/>
    <n v="23"/>
    <x v="1"/>
    <x v="4"/>
  </r>
  <r>
    <n v="1790"/>
    <x v="16"/>
    <x v="0"/>
    <x v="0"/>
    <x v="0"/>
    <n v="34"/>
    <s v="Arizona"/>
    <x v="0"/>
    <x v="15"/>
    <x v="1"/>
    <x v="21"/>
    <x v="1"/>
    <x v="4"/>
    <x v="1"/>
    <x v="1"/>
    <n v="43"/>
    <x v="5"/>
    <x v="3"/>
  </r>
  <r>
    <n v="1791"/>
    <x v="2"/>
    <x v="0"/>
    <x v="24"/>
    <x v="3"/>
    <n v="26"/>
    <s v="North Carolina"/>
    <x v="1"/>
    <x v="10"/>
    <x v="2"/>
    <x v="18"/>
    <x v="1"/>
    <x v="5"/>
    <x v="1"/>
    <x v="1"/>
    <n v="31"/>
    <x v="3"/>
    <x v="4"/>
  </r>
  <r>
    <n v="1792"/>
    <x v="46"/>
    <x v="0"/>
    <x v="2"/>
    <x v="0"/>
    <n v="98"/>
    <s v="Montana"/>
    <x v="1"/>
    <x v="7"/>
    <x v="0"/>
    <x v="17"/>
    <x v="1"/>
    <x v="5"/>
    <x v="1"/>
    <x v="1"/>
    <n v="38"/>
    <x v="1"/>
    <x v="2"/>
  </r>
  <r>
    <n v="1793"/>
    <x v="21"/>
    <x v="0"/>
    <x v="4"/>
    <x v="1"/>
    <n v="59"/>
    <s v="Iowa"/>
    <x v="2"/>
    <x v="15"/>
    <x v="3"/>
    <x v="21"/>
    <x v="1"/>
    <x v="0"/>
    <x v="1"/>
    <x v="1"/>
    <n v="22"/>
    <x v="5"/>
    <x v="6"/>
  </r>
  <r>
    <n v="1794"/>
    <x v="13"/>
    <x v="0"/>
    <x v="19"/>
    <x v="3"/>
    <n v="92"/>
    <s v="Iowa"/>
    <x v="1"/>
    <x v="3"/>
    <x v="3"/>
    <x v="22"/>
    <x v="1"/>
    <x v="5"/>
    <x v="1"/>
    <x v="1"/>
    <n v="45"/>
    <x v="1"/>
    <x v="6"/>
  </r>
  <r>
    <n v="1795"/>
    <x v="52"/>
    <x v="0"/>
    <x v="21"/>
    <x v="3"/>
    <n v="40"/>
    <s v="Ohio"/>
    <x v="0"/>
    <x v="21"/>
    <x v="1"/>
    <x v="18"/>
    <x v="1"/>
    <x v="0"/>
    <x v="1"/>
    <x v="1"/>
    <n v="21"/>
    <x v="5"/>
    <x v="0"/>
  </r>
  <r>
    <n v="1796"/>
    <x v="33"/>
    <x v="0"/>
    <x v="2"/>
    <x v="0"/>
    <n v="20"/>
    <s v="Wisconsin"/>
    <x v="1"/>
    <x v="10"/>
    <x v="3"/>
    <x v="17"/>
    <x v="1"/>
    <x v="4"/>
    <x v="1"/>
    <x v="1"/>
    <n v="9"/>
    <x v="5"/>
    <x v="0"/>
  </r>
  <r>
    <n v="1797"/>
    <x v="46"/>
    <x v="0"/>
    <x v="11"/>
    <x v="0"/>
    <n v="35"/>
    <s v="South Carolina"/>
    <x v="1"/>
    <x v="18"/>
    <x v="1"/>
    <x v="0"/>
    <x v="1"/>
    <x v="5"/>
    <x v="1"/>
    <x v="1"/>
    <n v="34"/>
    <x v="0"/>
    <x v="1"/>
  </r>
  <r>
    <n v="1798"/>
    <x v="46"/>
    <x v="0"/>
    <x v="22"/>
    <x v="3"/>
    <n v="35"/>
    <s v="Oregon"/>
    <x v="0"/>
    <x v="1"/>
    <x v="1"/>
    <x v="20"/>
    <x v="1"/>
    <x v="4"/>
    <x v="1"/>
    <x v="1"/>
    <n v="26"/>
    <x v="0"/>
    <x v="1"/>
  </r>
  <r>
    <n v="1799"/>
    <x v="37"/>
    <x v="0"/>
    <x v="10"/>
    <x v="0"/>
    <n v="82"/>
    <s v="North Dakota"/>
    <x v="0"/>
    <x v="23"/>
    <x v="0"/>
    <x v="18"/>
    <x v="1"/>
    <x v="0"/>
    <x v="1"/>
    <x v="1"/>
    <n v="1"/>
    <x v="1"/>
    <x v="1"/>
  </r>
  <r>
    <n v="1800"/>
    <x v="45"/>
    <x v="0"/>
    <x v="15"/>
    <x v="0"/>
    <n v="48"/>
    <s v="California"/>
    <x v="2"/>
    <x v="4"/>
    <x v="3"/>
    <x v="20"/>
    <x v="1"/>
    <x v="0"/>
    <x v="1"/>
    <x v="1"/>
    <n v="47"/>
    <x v="0"/>
    <x v="1"/>
  </r>
  <r>
    <n v="1801"/>
    <x v="40"/>
    <x v="0"/>
    <x v="7"/>
    <x v="2"/>
    <n v="58"/>
    <s v="Mississippi"/>
    <x v="3"/>
    <x v="21"/>
    <x v="0"/>
    <x v="2"/>
    <x v="1"/>
    <x v="0"/>
    <x v="1"/>
    <x v="1"/>
    <n v="30"/>
    <x v="2"/>
    <x v="1"/>
  </r>
  <r>
    <n v="1802"/>
    <x v="23"/>
    <x v="0"/>
    <x v="1"/>
    <x v="0"/>
    <n v="57"/>
    <s v="New Jersey"/>
    <x v="2"/>
    <x v="2"/>
    <x v="1"/>
    <x v="20"/>
    <x v="1"/>
    <x v="0"/>
    <x v="1"/>
    <x v="1"/>
    <n v="48"/>
    <x v="5"/>
    <x v="0"/>
  </r>
  <r>
    <n v="1803"/>
    <x v="9"/>
    <x v="0"/>
    <x v="6"/>
    <x v="0"/>
    <n v="96"/>
    <s v="Rhode Island"/>
    <x v="0"/>
    <x v="2"/>
    <x v="0"/>
    <x v="5"/>
    <x v="1"/>
    <x v="5"/>
    <x v="1"/>
    <x v="1"/>
    <n v="31"/>
    <x v="0"/>
    <x v="4"/>
  </r>
  <r>
    <n v="1804"/>
    <x v="52"/>
    <x v="0"/>
    <x v="4"/>
    <x v="1"/>
    <n v="97"/>
    <s v="New Hampshire"/>
    <x v="1"/>
    <x v="0"/>
    <x v="2"/>
    <x v="1"/>
    <x v="1"/>
    <x v="1"/>
    <x v="1"/>
    <x v="1"/>
    <n v="33"/>
    <x v="0"/>
    <x v="0"/>
  </r>
  <r>
    <n v="1805"/>
    <x v="11"/>
    <x v="0"/>
    <x v="1"/>
    <x v="0"/>
    <n v="42"/>
    <s v="Louisiana"/>
    <x v="0"/>
    <x v="15"/>
    <x v="0"/>
    <x v="14"/>
    <x v="1"/>
    <x v="2"/>
    <x v="1"/>
    <x v="1"/>
    <n v="39"/>
    <x v="2"/>
    <x v="1"/>
  </r>
  <r>
    <n v="1806"/>
    <x v="38"/>
    <x v="0"/>
    <x v="17"/>
    <x v="0"/>
    <n v="62"/>
    <s v="Arizona"/>
    <x v="0"/>
    <x v="9"/>
    <x v="1"/>
    <x v="8"/>
    <x v="1"/>
    <x v="5"/>
    <x v="1"/>
    <x v="1"/>
    <n v="46"/>
    <x v="5"/>
    <x v="1"/>
  </r>
  <r>
    <n v="1807"/>
    <x v="44"/>
    <x v="0"/>
    <x v="8"/>
    <x v="3"/>
    <n v="67"/>
    <s v="Rhode Island"/>
    <x v="2"/>
    <x v="14"/>
    <x v="3"/>
    <x v="20"/>
    <x v="1"/>
    <x v="3"/>
    <x v="1"/>
    <x v="1"/>
    <n v="24"/>
    <x v="0"/>
    <x v="2"/>
  </r>
  <r>
    <n v="1808"/>
    <x v="50"/>
    <x v="0"/>
    <x v="4"/>
    <x v="1"/>
    <n v="46"/>
    <s v="Vermont"/>
    <x v="0"/>
    <x v="9"/>
    <x v="2"/>
    <x v="1"/>
    <x v="1"/>
    <x v="3"/>
    <x v="1"/>
    <x v="1"/>
    <n v="37"/>
    <x v="0"/>
    <x v="0"/>
  </r>
  <r>
    <n v="1809"/>
    <x v="29"/>
    <x v="0"/>
    <x v="14"/>
    <x v="2"/>
    <n v="71"/>
    <s v="Tennessee"/>
    <x v="2"/>
    <x v="12"/>
    <x v="1"/>
    <x v="24"/>
    <x v="1"/>
    <x v="2"/>
    <x v="1"/>
    <x v="1"/>
    <n v="7"/>
    <x v="5"/>
    <x v="5"/>
  </r>
  <r>
    <n v="1810"/>
    <x v="44"/>
    <x v="0"/>
    <x v="21"/>
    <x v="3"/>
    <n v="99"/>
    <s v="Alaska"/>
    <x v="1"/>
    <x v="24"/>
    <x v="3"/>
    <x v="23"/>
    <x v="1"/>
    <x v="1"/>
    <x v="1"/>
    <x v="1"/>
    <n v="6"/>
    <x v="5"/>
    <x v="0"/>
  </r>
  <r>
    <n v="1811"/>
    <x v="38"/>
    <x v="0"/>
    <x v="2"/>
    <x v="0"/>
    <n v="28"/>
    <s v="Maryland"/>
    <x v="2"/>
    <x v="23"/>
    <x v="3"/>
    <x v="2"/>
    <x v="1"/>
    <x v="3"/>
    <x v="1"/>
    <x v="1"/>
    <n v="16"/>
    <x v="1"/>
    <x v="4"/>
  </r>
  <r>
    <n v="1812"/>
    <x v="32"/>
    <x v="0"/>
    <x v="22"/>
    <x v="3"/>
    <n v="77"/>
    <s v="Wisconsin"/>
    <x v="0"/>
    <x v="24"/>
    <x v="2"/>
    <x v="15"/>
    <x v="1"/>
    <x v="3"/>
    <x v="1"/>
    <x v="1"/>
    <n v="33"/>
    <x v="4"/>
    <x v="2"/>
  </r>
  <r>
    <n v="1813"/>
    <x v="2"/>
    <x v="0"/>
    <x v="23"/>
    <x v="1"/>
    <n v="63"/>
    <s v="Nevada"/>
    <x v="1"/>
    <x v="24"/>
    <x v="2"/>
    <x v="8"/>
    <x v="1"/>
    <x v="0"/>
    <x v="1"/>
    <x v="1"/>
    <n v="18"/>
    <x v="3"/>
    <x v="4"/>
  </r>
  <r>
    <n v="1814"/>
    <x v="37"/>
    <x v="0"/>
    <x v="6"/>
    <x v="0"/>
    <n v="62"/>
    <s v="Illinois"/>
    <x v="2"/>
    <x v="8"/>
    <x v="1"/>
    <x v="1"/>
    <x v="1"/>
    <x v="1"/>
    <x v="1"/>
    <x v="1"/>
    <n v="24"/>
    <x v="3"/>
    <x v="1"/>
  </r>
  <r>
    <n v="1815"/>
    <x v="45"/>
    <x v="0"/>
    <x v="2"/>
    <x v="0"/>
    <n v="92"/>
    <s v="Montana"/>
    <x v="2"/>
    <x v="3"/>
    <x v="2"/>
    <x v="22"/>
    <x v="1"/>
    <x v="1"/>
    <x v="1"/>
    <x v="1"/>
    <n v="24"/>
    <x v="1"/>
    <x v="3"/>
  </r>
  <r>
    <n v="1816"/>
    <x v="47"/>
    <x v="0"/>
    <x v="9"/>
    <x v="1"/>
    <n v="72"/>
    <s v="New Mexico"/>
    <x v="0"/>
    <x v="3"/>
    <x v="0"/>
    <x v="9"/>
    <x v="1"/>
    <x v="4"/>
    <x v="1"/>
    <x v="1"/>
    <n v="48"/>
    <x v="2"/>
    <x v="6"/>
  </r>
  <r>
    <n v="1817"/>
    <x v="8"/>
    <x v="0"/>
    <x v="19"/>
    <x v="3"/>
    <n v="79"/>
    <s v="Virginia"/>
    <x v="2"/>
    <x v="7"/>
    <x v="2"/>
    <x v="17"/>
    <x v="1"/>
    <x v="0"/>
    <x v="1"/>
    <x v="1"/>
    <n v="4"/>
    <x v="1"/>
    <x v="1"/>
  </r>
  <r>
    <n v="1818"/>
    <x v="45"/>
    <x v="0"/>
    <x v="17"/>
    <x v="0"/>
    <n v="27"/>
    <s v="Delaware"/>
    <x v="2"/>
    <x v="3"/>
    <x v="2"/>
    <x v="10"/>
    <x v="1"/>
    <x v="1"/>
    <x v="1"/>
    <x v="1"/>
    <n v="20"/>
    <x v="1"/>
    <x v="1"/>
  </r>
  <r>
    <n v="1819"/>
    <x v="44"/>
    <x v="0"/>
    <x v="12"/>
    <x v="3"/>
    <n v="39"/>
    <s v="North Carolina"/>
    <x v="2"/>
    <x v="3"/>
    <x v="3"/>
    <x v="22"/>
    <x v="1"/>
    <x v="0"/>
    <x v="1"/>
    <x v="1"/>
    <n v="47"/>
    <x v="5"/>
    <x v="6"/>
  </r>
  <r>
    <n v="1820"/>
    <x v="47"/>
    <x v="0"/>
    <x v="20"/>
    <x v="0"/>
    <n v="86"/>
    <s v="Nevada"/>
    <x v="1"/>
    <x v="15"/>
    <x v="1"/>
    <x v="9"/>
    <x v="1"/>
    <x v="2"/>
    <x v="1"/>
    <x v="1"/>
    <n v="50"/>
    <x v="1"/>
    <x v="3"/>
  </r>
  <r>
    <n v="1821"/>
    <x v="1"/>
    <x v="0"/>
    <x v="5"/>
    <x v="0"/>
    <n v="94"/>
    <s v="Washington"/>
    <x v="3"/>
    <x v="9"/>
    <x v="3"/>
    <x v="16"/>
    <x v="1"/>
    <x v="0"/>
    <x v="1"/>
    <x v="1"/>
    <n v="31"/>
    <x v="3"/>
    <x v="5"/>
  </r>
  <r>
    <n v="1822"/>
    <x v="9"/>
    <x v="0"/>
    <x v="6"/>
    <x v="0"/>
    <n v="53"/>
    <s v="Maine"/>
    <x v="2"/>
    <x v="11"/>
    <x v="1"/>
    <x v="11"/>
    <x v="1"/>
    <x v="0"/>
    <x v="1"/>
    <x v="1"/>
    <n v="29"/>
    <x v="3"/>
    <x v="3"/>
  </r>
  <r>
    <n v="1823"/>
    <x v="17"/>
    <x v="0"/>
    <x v="5"/>
    <x v="0"/>
    <n v="85"/>
    <s v="Connecticut"/>
    <x v="1"/>
    <x v="17"/>
    <x v="2"/>
    <x v="14"/>
    <x v="1"/>
    <x v="3"/>
    <x v="1"/>
    <x v="1"/>
    <n v="4"/>
    <x v="1"/>
    <x v="2"/>
  </r>
  <r>
    <n v="1824"/>
    <x v="46"/>
    <x v="0"/>
    <x v="20"/>
    <x v="0"/>
    <n v="50"/>
    <s v="Louisiana"/>
    <x v="0"/>
    <x v="6"/>
    <x v="3"/>
    <x v="10"/>
    <x v="1"/>
    <x v="1"/>
    <x v="1"/>
    <x v="1"/>
    <n v="40"/>
    <x v="4"/>
    <x v="4"/>
  </r>
  <r>
    <n v="1825"/>
    <x v="44"/>
    <x v="0"/>
    <x v="13"/>
    <x v="0"/>
    <n v="47"/>
    <s v="Illinois"/>
    <x v="3"/>
    <x v="23"/>
    <x v="0"/>
    <x v="22"/>
    <x v="1"/>
    <x v="0"/>
    <x v="1"/>
    <x v="1"/>
    <n v="31"/>
    <x v="1"/>
    <x v="5"/>
  </r>
  <r>
    <n v="1826"/>
    <x v="51"/>
    <x v="0"/>
    <x v="23"/>
    <x v="1"/>
    <n v="75"/>
    <s v="South Dakota"/>
    <x v="2"/>
    <x v="6"/>
    <x v="0"/>
    <x v="8"/>
    <x v="1"/>
    <x v="2"/>
    <x v="1"/>
    <x v="1"/>
    <n v="41"/>
    <x v="2"/>
    <x v="1"/>
  </r>
  <r>
    <n v="1827"/>
    <x v="4"/>
    <x v="0"/>
    <x v="17"/>
    <x v="0"/>
    <n v="60"/>
    <s v="Indiana"/>
    <x v="2"/>
    <x v="2"/>
    <x v="0"/>
    <x v="19"/>
    <x v="1"/>
    <x v="0"/>
    <x v="1"/>
    <x v="1"/>
    <n v="44"/>
    <x v="5"/>
    <x v="2"/>
  </r>
  <r>
    <n v="1828"/>
    <x v="30"/>
    <x v="0"/>
    <x v="17"/>
    <x v="0"/>
    <n v="36"/>
    <s v="Vermont"/>
    <x v="1"/>
    <x v="6"/>
    <x v="1"/>
    <x v="8"/>
    <x v="1"/>
    <x v="4"/>
    <x v="1"/>
    <x v="1"/>
    <n v="31"/>
    <x v="4"/>
    <x v="1"/>
  </r>
  <r>
    <n v="1829"/>
    <x v="23"/>
    <x v="0"/>
    <x v="7"/>
    <x v="2"/>
    <n v="80"/>
    <s v="New Hampshire"/>
    <x v="0"/>
    <x v="0"/>
    <x v="1"/>
    <x v="20"/>
    <x v="1"/>
    <x v="0"/>
    <x v="1"/>
    <x v="1"/>
    <n v="45"/>
    <x v="1"/>
    <x v="6"/>
  </r>
  <r>
    <n v="1830"/>
    <x v="11"/>
    <x v="0"/>
    <x v="19"/>
    <x v="3"/>
    <n v="96"/>
    <s v="Oregon"/>
    <x v="2"/>
    <x v="3"/>
    <x v="1"/>
    <x v="8"/>
    <x v="1"/>
    <x v="4"/>
    <x v="1"/>
    <x v="1"/>
    <n v="50"/>
    <x v="2"/>
    <x v="3"/>
  </r>
  <r>
    <n v="1831"/>
    <x v="2"/>
    <x v="0"/>
    <x v="12"/>
    <x v="3"/>
    <n v="80"/>
    <s v="Kansas"/>
    <x v="2"/>
    <x v="24"/>
    <x v="0"/>
    <x v="6"/>
    <x v="1"/>
    <x v="0"/>
    <x v="1"/>
    <x v="1"/>
    <n v="7"/>
    <x v="0"/>
    <x v="2"/>
  </r>
  <r>
    <n v="1832"/>
    <x v="46"/>
    <x v="0"/>
    <x v="0"/>
    <x v="0"/>
    <n v="71"/>
    <s v="Maine"/>
    <x v="2"/>
    <x v="17"/>
    <x v="2"/>
    <x v="13"/>
    <x v="1"/>
    <x v="1"/>
    <x v="1"/>
    <x v="1"/>
    <n v="5"/>
    <x v="4"/>
    <x v="6"/>
  </r>
  <r>
    <n v="1833"/>
    <x v="28"/>
    <x v="0"/>
    <x v="16"/>
    <x v="3"/>
    <n v="29"/>
    <s v="Louisiana"/>
    <x v="2"/>
    <x v="24"/>
    <x v="3"/>
    <x v="12"/>
    <x v="1"/>
    <x v="1"/>
    <x v="1"/>
    <x v="1"/>
    <n v="48"/>
    <x v="1"/>
    <x v="5"/>
  </r>
  <r>
    <n v="1834"/>
    <x v="50"/>
    <x v="0"/>
    <x v="16"/>
    <x v="3"/>
    <n v="53"/>
    <s v="Louisiana"/>
    <x v="2"/>
    <x v="22"/>
    <x v="1"/>
    <x v="9"/>
    <x v="1"/>
    <x v="4"/>
    <x v="1"/>
    <x v="1"/>
    <n v="19"/>
    <x v="3"/>
    <x v="0"/>
  </r>
  <r>
    <n v="1835"/>
    <x v="34"/>
    <x v="0"/>
    <x v="11"/>
    <x v="0"/>
    <n v="35"/>
    <s v="Indiana"/>
    <x v="2"/>
    <x v="4"/>
    <x v="2"/>
    <x v="7"/>
    <x v="1"/>
    <x v="4"/>
    <x v="1"/>
    <x v="1"/>
    <n v="39"/>
    <x v="0"/>
    <x v="0"/>
  </r>
  <r>
    <n v="1836"/>
    <x v="13"/>
    <x v="0"/>
    <x v="18"/>
    <x v="3"/>
    <n v="75"/>
    <s v="Kentucky"/>
    <x v="2"/>
    <x v="12"/>
    <x v="3"/>
    <x v="4"/>
    <x v="1"/>
    <x v="4"/>
    <x v="1"/>
    <x v="1"/>
    <n v="45"/>
    <x v="2"/>
    <x v="3"/>
  </r>
  <r>
    <n v="1837"/>
    <x v="17"/>
    <x v="0"/>
    <x v="13"/>
    <x v="0"/>
    <n v="52"/>
    <s v="South Carolina"/>
    <x v="2"/>
    <x v="11"/>
    <x v="3"/>
    <x v="19"/>
    <x v="1"/>
    <x v="4"/>
    <x v="1"/>
    <x v="1"/>
    <n v="35"/>
    <x v="2"/>
    <x v="5"/>
  </r>
  <r>
    <n v="1838"/>
    <x v="38"/>
    <x v="0"/>
    <x v="19"/>
    <x v="3"/>
    <n v="77"/>
    <s v="Montana"/>
    <x v="2"/>
    <x v="19"/>
    <x v="0"/>
    <x v="6"/>
    <x v="1"/>
    <x v="1"/>
    <x v="1"/>
    <x v="1"/>
    <n v="8"/>
    <x v="0"/>
    <x v="5"/>
  </r>
  <r>
    <n v="1839"/>
    <x v="43"/>
    <x v="0"/>
    <x v="24"/>
    <x v="3"/>
    <n v="24"/>
    <s v="Vermont"/>
    <x v="0"/>
    <x v="24"/>
    <x v="3"/>
    <x v="7"/>
    <x v="1"/>
    <x v="2"/>
    <x v="1"/>
    <x v="1"/>
    <n v="11"/>
    <x v="2"/>
    <x v="3"/>
  </r>
  <r>
    <n v="1840"/>
    <x v="45"/>
    <x v="0"/>
    <x v="5"/>
    <x v="0"/>
    <n v="78"/>
    <s v="Mississippi"/>
    <x v="3"/>
    <x v="7"/>
    <x v="0"/>
    <x v="18"/>
    <x v="1"/>
    <x v="5"/>
    <x v="1"/>
    <x v="1"/>
    <n v="32"/>
    <x v="1"/>
    <x v="2"/>
  </r>
  <r>
    <n v="1841"/>
    <x v="32"/>
    <x v="0"/>
    <x v="3"/>
    <x v="1"/>
    <n v="98"/>
    <s v="Wyoming"/>
    <x v="2"/>
    <x v="9"/>
    <x v="0"/>
    <x v="5"/>
    <x v="1"/>
    <x v="5"/>
    <x v="1"/>
    <x v="1"/>
    <n v="46"/>
    <x v="4"/>
    <x v="6"/>
  </r>
  <r>
    <n v="1842"/>
    <x v="18"/>
    <x v="0"/>
    <x v="20"/>
    <x v="0"/>
    <n v="57"/>
    <s v="Vermont"/>
    <x v="0"/>
    <x v="24"/>
    <x v="0"/>
    <x v="21"/>
    <x v="1"/>
    <x v="3"/>
    <x v="1"/>
    <x v="1"/>
    <n v="7"/>
    <x v="3"/>
    <x v="6"/>
  </r>
  <r>
    <n v="1843"/>
    <x v="12"/>
    <x v="0"/>
    <x v="8"/>
    <x v="3"/>
    <n v="78"/>
    <s v="Alabama"/>
    <x v="2"/>
    <x v="13"/>
    <x v="2"/>
    <x v="14"/>
    <x v="1"/>
    <x v="0"/>
    <x v="1"/>
    <x v="1"/>
    <n v="1"/>
    <x v="5"/>
    <x v="2"/>
  </r>
  <r>
    <n v="1844"/>
    <x v="24"/>
    <x v="0"/>
    <x v="14"/>
    <x v="2"/>
    <n v="76"/>
    <s v="Kentucky"/>
    <x v="2"/>
    <x v="4"/>
    <x v="3"/>
    <x v="10"/>
    <x v="1"/>
    <x v="2"/>
    <x v="1"/>
    <x v="1"/>
    <n v="32"/>
    <x v="2"/>
    <x v="5"/>
  </r>
  <r>
    <n v="1845"/>
    <x v="52"/>
    <x v="0"/>
    <x v="6"/>
    <x v="0"/>
    <n v="26"/>
    <s v="South Dakota"/>
    <x v="2"/>
    <x v="7"/>
    <x v="1"/>
    <x v="2"/>
    <x v="1"/>
    <x v="4"/>
    <x v="1"/>
    <x v="1"/>
    <n v="31"/>
    <x v="2"/>
    <x v="2"/>
  </r>
  <r>
    <n v="1846"/>
    <x v="47"/>
    <x v="0"/>
    <x v="3"/>
    <x v="1"/>
    <n v="78"/>
    <s v="Delaware"/>
    <x v="2"/>
    <x v="20"/>
    <x v="0"/>
    <x v="11"/>
    <x v="1"/>
    <x v="4"/>
    <x v="1"/>
    <x v="1"/>
    <n v="39"/>
    <x v="4"/>
    <x v="3"/>
  </r>
  <r>
    <n v="1847"/>
    <x v="33"/>
    <x v="0"/>
    <x v="18"/>
    <x v="3"/>
    <n v="53"/>
    <s v="Wisconsin"/>
    <x v="2"/>
    <x v="22"/>
    <x v="2"/>
    <x v="3"/>
    <x v="1"/>
    <x v="3"/>
    <x v="1"/>
    <x v="1"/>
    <n v="9"/>
    <x v="0"/>
    <x v="3"/>
  </r>
  <r>
    <n v="1848"/>
    <x v="5"/>
    <x v="0"/>
    <x v="3"/>
    <x v="1"/>
    <n v="100"/>
    <s v="Arizona"/>
    <x v="3"/>
    <x v="17"/>
    <x v="2"/>
    <x v="14"/>
    <x v="1"/>
    <x v="1"/>
    <x v="1"/>
    <x v="1"/>
    <n v="49"/>
    <x v="2"/>
    <x v="1"/>
  </r>
  <r>
    <n v="1849"/>
    <x v="1"/>
    <x v="0"/>
    <x v="2"/>
    <x v="0"/>
    <n v="73"/>
    <s v="Maine"/>
    <x v="3"/>
    <x v="22"/>
    <x v="0"/>
    <x v="2"/>
    <x v="1"/>
    <x v="0"/>
    <x v="1"/>
    <x v="1"/>
    <n v="34"/>
    <x v="1"/>
    <x v="6"/>
  </r>
  <r>
    <n v="1850"/>
    <x v="11"/>
    <x v="0"/>
    <x v="11"/>
    <x v="0"/>
    <n v="40"/>
    <s v="New Mexico"/>
    <x v="2"/>
    <x v="1"/>
    <x v="0"/>
    <x v="9"/>
    <x v="1"/>
    <x v="5"/>
    <x v="1"/>
    <x v="1"/>
    <n v="35"/>
    <x v="4"/>
    <x v="5"/>
  </r>
  <r>
    <n v="1851"/>
    <x v="47"/>
    <x v="0"/>
    <x v="24"/>
    <x v="3"/>
    <n v="76"/>
    <s v="Wyoming"/>
    <x v="1"/>
    <x v="13"/>
    <x v="0"/>
    <x v="11"/>
    <x v="1"/>
    <x v="5"/>
    <x v="1"/>
    <x v="1"/>
    <n v="50"/>
    <x v="5"/>
    <x v="1"/>
  </r>
  <r>
    <n v="1852"/>
    <x v="48"/>
    <x v="0"/>
    <x v="11"/>
    <x v="0"/>
    <n v="80"/>
    <s v="Delaware"/>
    <x v="1"/>
    <x v="12"/>
    <x v="3"/>
    <x v="0"/>
    <x v="1"/>
    <x v="1"/>
    <x v="1"/>
    <x v="1"/>
    <n v="4"/>
    <x v="4"/>
    <x v="0"/>
  </r>
  <r>
    <n v="1853"/>
    <x v="38"/>
    <x v="0"/>
    <x v="1"/>
    <x v="0"/>
    <n v="80"/>
    <s v="Pennsylvania"/>
    <x v="3"/>
    <x v="10"/>
    <x v="0"/>
    <x v="22"/>
    <x v="1"/>
    <x v="5"/>
    <x v="1"/>
    <x v="1"/>
    <n v="32"/>
    <x v="1"/>
    <x v="1"/>
  </r>
  <r>
    <n v="1854"/>
    <x v="26"/>
    <x v="0"/>
    <x v="0"/>
    <x v="0"/>
    <n v="67"/>
    <s v="North Dakota"/>
    <x v="3"/>
    <x v="8"/>
    <x v="1"/>
    <x v="3"/>
    <x v="1"/>
    <x v="0"/>
    <x v="1"/>
    <x v="1"/>
    <n v="11"/>
    <x v="3"/>
    <x v="0"/>
  </r>
  <r>
    <n v="1855"/>
    <x v="15"/>
    <x v="0"/>
    <x v="1"/>
    <x v="0"/>
    <n v="61"/>
    <s v="Kentucky"/>
    <x v="2"/>
    <x v="11"/>
    <x v="1"/>
    <x v="22"/>
    <x v="1"/>
    <x v="0"/>
    <x v="1"/>
    <x v="1"/>
    <n v="49"/>
    <x v="2"/>
    <x v="2"/>
  </r>
  <r>
    <n v="1856"/>
    <x v="52"/>
    <x v="0"/>
    <x v="5"/>
    <x v="0"/>
    <n v="76"/>
    <s v="Rhode Island"/>
    <x v="3"/>
    <x v="11"/>
    <x v="1"/>
    <x v="10"/>
    <x v="1"/>
    <x v="3"/>
    <x v="1"/>
    <x v="1"/>
    <n v="9"/>
    <x v="1"/>
    <x v="2"/>
  </r>
  <r>
    <n v="1857"/>
    <x v="6"/>
    <x v="0"/>
    <x v="16"/>
    <x v="3"/>
    <n v="55"/>
    <s v="Arizona"/>
    <x v="3"/>
    <x v="19"/>
    <x v="2"/>
    <x v="4"/>
    <x v="1"/>
    <x v="1"/>
    <x v="1"/>
    <x v="1"/>
    <n v="30"/>
    <x v="3"/>
    <x v="4"/>
  </r>
  <r>
    <n v="1858"/>
    <x v="47"/>
    <x v="0"/>
    <x v="17"/>
    <x v="0"/>
    <n v="85"/>
    <s v="Colorado"/>
    <x v="0"/>
    <x v="1"/>
    <x v="2"/>
    <x v="17"/>
    <x v="1"/>
    <x v="2"/>
    <x v="1"/>
    <x v="1"/>
    <n v="33"/>
    <x v="1"/>
    <x v="5"/>
  </r>
  <r>
    <n v="1859"/>
    <x v="40"/>
    <x v="0"/>
    <x v="18"/>
    <x v="3"/>
    <n v="69"/>
    <s v="Maine"/>
    <x v="1"/>
    <x v="15"/>
    <x v="1"/>
    <x v="8"/>
    <x v="1"/>
    <x v="4"/>
    <x v="1"/>
    <x v="1"/>
    <n v="8"/>
    <x v="5"/>
    <x v="2"/>
  </r>
  <r>
    <n v="1860"/>
    <x v="22"/>
    <x v="0"/>
    <x v="22"/>
    <x v="3"/>
    <n v="26"/>
    <s v="New Jersey"/>
    <x v="0"/>
    <x v="19"/>
    <x v="2"/>
    <x v="18"/>
    <x v="1"/>
    <x v="5"/>
    <x v="1"/>
    <x v="1"/>
    <n v="29"/>
    <x v="5"/>
    <x v="0"/>
  </r>
  <r>
    <n v="1861"/>
    <x v="20"/>
    <x v="0"/>
    <x v="17"/>
    <x v="0"/>
    <n v="64"/>
    <s v="Kansas"/>
    <x v="2"/>
    <x v="5"/>
    <x v="2"/>
    <x v="6"/>
    <x v="1"/>
    <x v="2"/>
    <x v="1"/>
    <x v="1"/>
    <n v="4"/>
    <x v="2"/>
    <x v="5"/>
  </r>
  <r>
    <n v="1862"/>
    <x v="26"/>
    <x v="0"/>
    <x v="4"/>
    <x v="1"/>
    <n v="60"/>
    <s v="South Dakota"/>
    <x v="1"/>
    <x v="15"/>
    <x v="3"/>
    <x v="15"/>
    <x v="1"/>
    <x v="3"/>
    <x v="1"/>
    <x v="1"/>
    <n v="19"/>
    <x v="5"/>
    <x v="5"/>
  </r>
  <r>
    <n v="1863"/>
    <x v="35"/>
    <x v="0"/>
    <x v="24"/>
    <x v="3"/>
    <n v="36"/>
    <s v="New Hampshire"/>
    <x v="2"/>
    <x v="2"/>
    <x v="0"/>
    <x v="12"/>
    <x v="1"/>
    <x v="0"/>
    <x v="1"/>
    <x v="1"/>
    <n v="10"/>
    <x v="3"/>
    <x v="0"/>
  </r>
  <r>
    <n v="1864"/>
    <x v="15"/>
    <x v="0"/>
    <x v="3"/>
    <x v="1"/>
    <n v="21"/>
    <s v="Connecticut"/>
    <x v="0"/>
    <x v="20"/>
    <x v="1"/>
    <x v="24"/>
    <x v="1"/>
    <x v="4"/>
    <x v="1"/>
    <x v="1"/>
    <n v="39"/>
    <x v="5"/>
    <x v="5"/>
  </r>
  <r>
    <n v="1865"/>
    <x v="1"/>
    <x v="0"/>
    <x v="21"/>
    <x v="3"/>
    <n v="72"/>
    <s v="Wyoming"/>
    <x v="1"/>
    <x v="17"/>
    <x v="3"/>
    <x v="4"/>
    <x v="1"/>
    <x v="4"/>
    <x v="1"/>
    <x v="1"/>
    <n v="21"/>
    <x v="0"/>
    <x v="3"/>
  </r>
  <r>
    <n v="1866"/>
    <x v="19"/>
    <x v="0"/>
    <x v="13"/>
    <x v="0"/>
    <n v="62"/>
    <s v="Missouri"/>
    <x v="1"/>
    <x v="5"/>
    <x v="2"/>
    <x v="22"/>
    <x v="1"/>
    <x v="5"/>
    <x v="1"/>
    <x v="1"/>
    <n v="12"/>
    <x v="4"/>
    <x v="5"/>
  </r>
  <r>
    <n v="1867"/>
    <x v="18"/>
    <x v="0"/>
    <x v="17"/>
    <x v="0"/>
    <n v="44"/>
    <s v="Alaska"/>
    <x v="3"/>
    <x v="9"/>
    <x v="0"/>
    <x v="19"/>
    <x v="1"/>
    <x v="3"/>
    <x v="1"/>
    <x v="1"/>
    <n v="9"/>
    <x v="2"/>
    <x v="0"/>
  </r>
  <r>
    <n v="1868"/>
    <x v="4"/>
    <x v="0"/>
    <x v="11"/>
    <x v="0"/>
    <n v="52"/>
    <s v="Delaware"/>
    <x v="2"/>
    <x v="18"/>
    <x v="3"/>
    <x v="23"/>
    <x v="1"/>
    <x v="4"/>
    <x v="1"/>
    <x v="1"/>
    <n v="20"/>
    <x v="0"/>
    <x v="3"/>
  </r>
  <r>
    <n v="1869"/>
    <x v="51"/>
    <x v="0"/>
    <x v="24"/>
    <x v="3"/>
    <n v="58"/>
    <s v="Indiana"/>
    <x v="2"/>
    <x v="5"/>
    <x v="1"/>
    <x v="10"/>
    <x v="1"/>
    <x v="2"/>
    <x v="1"/>
    <x v="1"/>
    <n v="44"/>
    <x v="1"/>
    <x v="0"/>
  </r>
  <r>
    <n v="1870"/>
    <x v="20"/>
    <x v="0"/>
    <x v="0"/>
    <x v="0"/>
    <n v="77"/>
    <s v="West Virginia"/>
    <x v="1"/>
    <x v="19"/>
    <x v="1"/>
    <x v="20"/>
    <x v="1"/>
    <x v="4"/>
    <x v="1"/>
    <x v="1"/>
    <n v="16"/>
    <x v="5"/>
    <x v="6"/>
  </r>
  <r>
    <n v="1871"/>
    <x v="49"/>
    <x v="0"/>
    <x v="0"/>
    <x v="0"/>
    <n v="99"/>
    <s v="Wyoming"/>
    <x v="0"/>
    <x v="10"/>
    <x v="1"/>
    <x v="24"/>
    <x v="1"/>
    <x v="5"/>
    <x v="1"/>
    <x v="1"/>
    <n v="27"/>
    <x v="5"/>
    <x v="0"/>
  </r>
  <r>
    <n v="1872"/>
    <x v="19"/>
    <x v="0"/>
    <x v="2"/>
    <x v="0"/>
    <n v="96"/>
    <s v="Illinois"/>
    <x v="3"/>
    <x v="10"/>
    <x v="3"/>
    <x v="2"/>
    <x v="1"/>
    <x v="3"/>
    <x v="1"/>
    <x v="1"/>
    <n v="14"/>
    <x v="1"/>
    <x v="6"/>
  </r>
  <r>
    <n v="1873"/>
    <x v="49"/>
    <x v="0"/>
    <x v="17"/>
    <x v="0"/>
    <n v="64"/>
    <s v="Alaska"/>
    <x v="2"/>
    <x v="12"/>
    <x v="2"/>
    <x v="12"/>
    <x v="1"/>
    <x v="3"/>
    <x v="1"/>
    <x v="1"/>
    <n v="24"/>
    <x v="2"/>
    <x v="5"/>
  </r>
  <r>
    <n v="1874"/>
    <x v="14"/>
    <x v="0"/>
    <x v="1"/>
    <x v="0"/>
    <n v="44"/>
    <s v="Wisconsin"/>
    <x v="3"/>
    <x v="16"/>
    <x v="3"/>
    <x v="3"/>
    <x v="1"/>
    <x v="0"/>
    <x v="1"/>
    <x v="1"/>
    <n v="49"/>
    <x v="4"/>
    <x v="1"/>
  </r>
  <r>
    <n v="1875"/>
    <x v="29"/>
    <x v="0"/>
    <x v="13"/>
    <x v="0"/>
    <n v="33"/>
    <s v="Indiana"/>
    <x v="0"/>
    <x v="7"/>
    <x v="3"/>
    <x v="15"/>
    <x v="1"/>
    <x v="1"/>
    <x v="1"/>
    <x v="1"/>
    <n v="14"/>
    <x v="1"/>
    <x v="1"/>
  </r>
  <r>
    <n v="1876"/>
    <x v="6"/>
    <x v="0"/>
    <x v="23"/>
    <x v="1"/>
    <n v="71"/>
    <s v="Tennessee"/>
    <x v="2"/>
    <x v="18"/>
    <x v="0"/>
    <x v="20"/>
    <x v="1"/>
    <x v="2"/>
    <x v="1"/>
    <x v="1"/>
    <n v="6"/>
    <x v="2"/>
    <x v="3"/>
  </r>
  <r>
    <n v="1877"/>
    <x v="22"/>
    <x v="0"/>
    <x v="11"/>
    <x v="0"/>
    <n v="36"/>
    <s v="Illinois"/>
    <x v="2"/>
    <x v="0"/>
    <x v="3"/>
    <x v="5"/>
    <x v="1"/>
    <x v="3"/>
    <x v="1"/>
    <x v="1"/>
    <n v="20"/>
    <x v="0"/>
    <x v="3"/>
  </r>
  <r>
    <n v="1878"/>
    <x v="28"/>
    <x v="0"/>
    <x v="24"/>
    <x v="3"/>
    <n v="62"/>
    <s v="Pennsylvania"/>
    <x v="0"/>
    <x v="6"/>
    <x v="3"/>
    <x v="15"/>
    <x v="1"/>
    <x v="0"/>
    <x v="1"/>
    <x v="1"/>
    <n v="3"/>
    <x v="2"/>
    <x v="2"/>
  </r>
  <r>
    <n v="1879"/>
    <x v="50"/>
    <x v="0"/>
    <x v="20"/>
    <x v="0"/>
    <n v="29"/>
    <s v="Oklahoma"/>
    <x v="0"/>
    <x v="23"/>
    <x v="2"/>
    <x v="23"/>
    <x v="1"/>
    <x v="5"/>
    <x v="1"/>
    <x v="1"/>
    <n v="5"/>
    <x v="2"/>
    <x v="5"/>
  </r>
  <r>
    <n v="1880"/>
    <x v="19"/>
    <x v="0"/>
    <x v="17"/>
    <x v="0"/>
    <n v="33"/>
    <s v="Tennessee"/>
    <x v="0"/>
    <x v="4"/>
    <x v="1"/>
    <x v="1"/>
    <x v="1"/>
    <x v="0"/>
    <x v="1"/>
    <x v="1"/>
    <n v="46"/>
    <x v="1"/>
    <x v="4"/>
  </r>
  <r>
    <n v="1881"/>
    <x v="50"/>
    <x v="0"/>
    <x v="0"/>
    <x v="0"/>
    <n v="33"/>
    <s v="New Jersey"/>
    <x v="0"/>
    <x v="22"/>
    <x v="3"/>
    <x v="0"/>
    <x v="1"/>
    <x v="4"/>
    <x v="1"/>
    <x v="1"/>
    <n v="8"/>
    <x v="5"/>
    <x v="5"/>
  </r>
  <r>
    <n v="1882"/>
    <x v="44"/>
    <x v="0"/>
    <x v="0"/>
    <x v="0"/>
    <n v="41"/>
    <s v="New Jersey"/>
    <x v="2"/>
    <x v="16"/>
    <x v="0"/>
    <x v="24"/>
    <x v="1"/>
    <x v="3"/>
    <x v="1"/>
    <x v="1"/>
    <n v="13"/>
    <x v="1"/>
    <x v="4"/>
  </r>
  <r>
    <n v="1883"/>
    <x v="42"/>
    <x v="0"/>
    <x v="18"/>
    <x v="3"/>
    <n v="54"/>
    <s v="Tennessee"/>
    <x v="0"/>
    <x v="24"/>
    <x v="0"/>
    <x v="16"/>
    <x v="1"/>
    <x v="5"/>
    <x v="1"/>
    <x v="1"/>
    <n v="25"/>
    <x v="4"/>
    <x v="3"/>
  </r>
  <r>
    <n v="1884"/>
    <x v="15"/>
    <x v="0"/>
    <x v="21"/>
    <x v="3"/>
    <n v="58"/>
    <s v="Georgia"/>
    <x v="2"/>
    <x v="17"/>
    <x v="1"/>
    <x v="8"/>
    <x v="1"/>
    <x v="5"/>
    <x v="1"/>
    <x v="1"/>
    <n v="39"/>
    <x v="5"/>
    <x v="0"/>
  </r>
  <r>
    <n v="1885"/>
    <x v="7"/>
    <x v="0"/>
    <x v="6"/>
    <x v="0"/>
    <n v="30"/>
    <s v="Arizona"/>
    <x v="1"/>
    <x v="6"/>
    <x v="2"/>
    <x v="24"/>
    <x v="1"/>
    <x v="2"/>
    <x v="1"/>
    <x v="1"/>
    <n v="15"/>
    <x v="4"/>
    <x v="4"/>
  </r>
  <r>
    <n v="1886"/>
    <x v="8"/>
    <x v="0"/>
    <x v="16"/>
    <x v="3"/>
    <n v="53"/>
    <s v="Nevada"/>
    <x v="1"/>
    <x v="1"/>
    <x v="0"/>
    <x v="14"/>
    <x v="1"/>
    <x v="3"/>
    <x v="1"/>
    <x v="1"/>
    <n v="35"/>
    <x v="1"/>
    <x v="5"/>
  </r>
  <r>
    <n v="1887"/>
    <x v="20"/>
    <x v="0"/>
    <x v="24"/>
    <x v="3"/>
    <n v="91"/>
    <s v="Arkansas"/>
    <x v="0"/>
    <x v="19"/>
    <x v="1"/>
    <x v="14"/>
    <x v="1"/>
    <x v="2"/>
    <x v="1"/>
    <x v="1"/>
    <n v="46"/>
    <x v="1"/>
    <x v="4"/>
  </r>
  <r>
    <n v="1888"/>
    <x v="14"/>
    <x v="0"/>
    <x v="15"/>
    <x v="0"/>
    <n v="44"/>
    <s v="North Dakota"/>
    <x v="3"/>
    <x v="9"/>
    <x v="3"/>
    <x v="1"/>
    <x v="1"/>
    <x v="0"/>
    <x v="1"/>
    <x v="1"/>
    <n v="3"/>
    <x v="3"/>
    <x v="5"/>
  </r>
  <r>
    <n v="1889"/>
    <x v="46"/>
    <x v="0"/>
    <x v="15"/>
    <x v="0"/>
    <n v="89"/>
    <s v="South Dakota"/>
    <x v="3"/>
    <x v="2"/>
    <x v="0"/>
    <x v="23"/>
    <x v="1"/>
    <x v="1"/>
    <x v="1"/>
    <x v="1"/>
    <n v="48"/>
    <x v="2"/>
    <x v="1"/>
  </r>
  <r>
    <n v="1890"/>
    <x v="35"/>
    <x v="0"/>
    <x v="11"/>
    <x v="0"/>
    <n v="57"/>
    <s v="North Carolina"/>
    <x v="0"/>
    <x v="15"/>
    <x v="1"/>
    <x v="25"/>
    <x v="1"/>
    <x v="2"/>
    <x v="1"/>
    <x v="1"/>
    <n v="27"/>
    <x v="4"/>
    <x v="1"/>
  </r>
  <r>
    <n v="1891"/>
    <x v="24"/>
    <x v="0"/>
    <x v="12"/>
    <x v="3"/>
    <n v="57"/>
    <s v="Hawaii"/>
    <x v="2"/>
    <x v="12"/>
    <x v="1"/>
    <x v="23"/>
    <x v="1"/>
    <x v="5"/>
    <x v="1"/>
    <x v="1"/>
    <n v="5"/>
    <x v="2"/>
    <x v="1"/>
  </r>
  <r>
    <n v="1892"/>
    <x v="28"/>
    <x v="0"/>
    <x v="16"/>
    <x v="3"/>
    <n v="74"/>
    <s v="New Hampshire"/>
    <x v="2"/>
    <x v="0"/>
    <x v="2"/>
    <x v="5"/>
    <x v="1"/>
    <x v="2"/>
    <x v="1"/>
    <x v="1"/>
    <n v="48"/>
    <x v="5"/>
    <x v="3"/>
  </r>
  <r>
    <n v="1893"/>
    <x v="31"/>
    <x v="0"/>
    <x v="14"/>
    <x v="2"/>
    <n v="30"/>
    <s v="California"/>
    <x v="2"/>
    <x v="24"/>
    <x v="3"/>
    <x v="12"/>
    <x v="1"/>
    <x v="4"/>
    <x v="1"/>
    <x v="1"/>
    <n v="12"/>
    <x v="0"/>
    <x v="1"/>
  </r>
  <r>
    <n v="1894"/>
    <x v="48"/>
    <x v="0"/>
    <x v="10"/>
    <x v="0"/>
    <n v="20"/>
    <s v="Delaware"/>
    <x v="0"/>
    <x v="16"/>
    <x v="2"/>
    <x v="18"/>
    <x v="1"/>
    <x v="0"/>
    <x v="1"/>
    <x v="1"/>
    <n v="10"/>
    <x v="3"/>
    <x v="0"/>
  </r>
  <r>
    <n v="1895"/>
    <x v="32"/>
    <x v="0"/>
    <x v="15"/>
    <x v="0"/>
    <n v="90"/>
    <s v="Arizona"/>
    <x v="2"/>
    <x v="7"/>
    <x v="3"/>
    <x v="25"/>
    <x v="1"/>
    <x v="1"/>
    <x v="1"/>
    <x v="1"/>
    <n v="48"/>
    <x v="5"/>
    <x v="4"/>
  </r>
  <r>
    <n v="1896"/>
    <x v="18"/>
    <x v="0"/>
    <x v="2"/>
    <x v="0"/>
    <n v="61"/>
    <s v="Washington"/>
    <x v="0"/>
    <x v="21"/>
    <x v="3"/>
    <x v="9"/>
    <x v="1"/>
    <x v="0"/>
    <x v="1"/>
    <x v="1"/>
    <n v="3"/>
    <x v="5"/>
    <x v="5"/>
  </r>
  <r>
    <n v="1897"/>
    <x v="9"/>
    <x v="0"/>
    <x v="3"/>
    <x v="1"/>
    <n v="51"/>
    <s v="Nevada"/>
    <x v="2"/>
    <x v="9"/>
    <x v="3"/>
    <x v="3"/>
    <x v="1"/>
    <x v="3"/>
    <x v="1"/>
    <x v="1"/>
    <n v="19"/>
    <x v="0"/>
    <x v="5"/>
  </r>
  <r>
    <n v="1898"/>
    <x v="10"/>
    <x v="0"/>
    <x v="12"/>
    <x v="3"/>
    <n v="97"/>
    <s v="Alaska"/>
    <x v="0"/>
    <x v="11"/>
    <x v="0"/>
    <x v="3"/>
    <x v="1"/>
    <x v="1"/>
    <x v="1"/>
    <x v="1"/>
    <n v="11"/>
    <x v="5"/>
    <x v="0"/>
  </r>
  <r>
    <n v="1899"/>
    <x v="35"/>
    <x v="0"/>
    <x v="13"/>
    <x v="0"/>
    <n v="97"/>
    <s v="Texas"/>
    <x v="0"/>
    <x v="23"/>
    <x v="3"/>
    <x v="1"/>
    <x v="1"/>
    <x v="2"/>
    <x v="1"/>
    <x v="1"/>
    <n v="25"/>
    <x v="0"/>
    <x v="5"/>
  </r>
  <r>
    <n v="1900"/>
    <x v="45"/>
    <x v="0"/>
    <x v="6"/>
    <x v="0"/>
    <n v="40"/>
    <s v="New York"/>
    <x v="0"/>
    <x v="1"/>
    <x v="0"/>
    <x v="19"/>
    <x v="1"/>
    <x v="5"/>
    <x v="1"/>
    <x v="1"/>
    <n v="42"/>
    <x v="3"/>
    <x v="1"/>
  </r>
  <r>
    <n v="1901"/>
    <x v="13"/>
    <x v="0"/>
    <x v="16"/>
    <x v="3"/>
    <n v="85"/>
    <s v="Iowa"/>
    <x v="1"/>
    <x v="24"/>
    <x v="2"/>
    <x v="13"/>
    <x v="1"/>
    <x v="1"/>
    <x v="1"/>
    <x v="1"/>
    <n v="34"/>
    <x v="1"/>
    <x v="3"/>
  </r>
  <r>
    <n v="1902"/>
    <x v="19"/>
    <x v="0"/>
    <x v="20"/>
    <x v="0"/>
    <n v="76"/>
    <s v="Arizona"/>
    <x v="1"/>
    <x v="19"/>
    <x v="0"/>
    <x v="20"/>
    <x v="1"/>
    <x v="5"/>
    <x v="1"/>
    <x v="1"/>
    <n v="50"/>
    <x v="1"/>
    <x v="3"/>
  </r>
  <r>
    <n v="1903"/>
    <x v="18"/>
    <x v="0"/>
    <x v="3"/>
    <x v="1"/>
    <n v="22"/>
    <s v="New Mexico"/>
    <x v="1"/>
    <x v="8"/>
    <x v="1"/>
    <x v="16"/>
    <x v="1"/>
    <x v="5"/>
    <x v="1"/>
    <x v="1"/>
    <n v="21"/>
    <x v="0"/>
    <x v="5"/>
  </r>
  <r>
    <n v="1904"/>
    <x v="35"/>
    <x v="0"/>
    <x v="13"/>
    <x v="0"/>
    <n v="63"/>
    <s v="North Carolina"/>
    <x v="2"/>
    <x v="9"/>
    <x v="2"/>
    <x v="13"/>
    <x v="1"/>
    <x v="3"/>
    <x v="1"/>
    <x v="1"/>
    <n v="37"/>
    <x v="4"/>
    <x v="1"/>
  </r>
  <r>
    <n v="1905"/>
    <x v="40"/>
    <x v="0"/>
    <x v="17"/>
    <x v="0"/>
    <n v="71"/>
    <s v="Nevada"/>
    <x v="1"/>
    <x v="5"/>
    <x v="1"/>
    <x v="19"/>
    <x v="1"/>
    <x v="1"/>
    <x v="1"/>
    <x v="1"/>
    <n v="46"/>
    <x v="1"/>
    <x v="5"/>
  </r>
  <r>
    <n v="1906"/>
    <x v="36"/>
    <x v="0"/>
    <x v="23"/>
    <x v="1"/>
    <n v="35"/>
    <s v="Idaho"/>
    <x v="2"/>
    <x v="11"/>
    <x v="2"/>
    <x v="8"/>
    <x v="1"/>
    <x v="4"/>
    <x v="1"/>
    <x v="1"/>
    <n v="14"/>
    <x v="4"/>
    <x v="0"/>
  </r>
  <r>
    <n v="1907"/>
    <x v="51"/>
    <x v="0"/>
    <x v="21"/>
    <x v="3"/>
    <n v="30"/>
    <s v="Vermont"/>
    <x v="2"/>
    <x v="14"/>
    <x v="1"/>
    <x v="12"/>
    <x v="1"/>
    <x v="4"/>
    <x v="1"/>
    <x v="1"/>
    <n v="24"/>
    <x v="3"/>
    <x v="0"/>
  </r>
  <r>
    <n v="1908"/>
    <x v="28"/>
    <x v="0"/>
    <x v="11"/>
    <x v="0"/>
    <n v="74"/>
    <s v="New Mexico"/>
    <x v="0"/>
    <x v="20"/>
    <x v="3"/>
    <x v="6"/>
    <x v="1"/>
    <x v="5"/>
    <x v="1"/>
    <x v="1"/>
    <n v="36"/>
    <x v="2"/>
    <x v="6"/>
  </r>
  <r>
    <n v="1909"/>
    <x v="20"/>
    <x v="0"/>
    <x v="18"/>
    <x v="3"/>
    <n v="71"/>
    <s v="Georgia"/>
    <x v="3"/>
    <x v="4"/>
    <x v="0"/>
    <x v="2"/>
    <x v="1"/>
    <x v="2"/>
    <x v="1"/>
    <x v="1"/>
    <n v="19"/>
    <x v="5"/>
    <x v="4"/>
  </r>
  <r>
    <n v="1910"/>
    <x v="2"/>
    <x v="0"/>
    <x v="1"/>
    <x v="0"/>
    <n v="84"/>
    <s v="Kentucky"/>
    <x v="1"/>
    <x v="13"/>
    <x v="1"/>
    <x v="24"/>
    <x v="1"/>
    <x v="5"/>
    <x v="1"/>
    <x v="1"/>
    <n v="12"/>
    <x v="2"/>
    <x v="5"/>
  </r>
  <r>
    <n v="1911"/>
    <x v="26"/>
    <x v="0"/>
    <x v="3"/>
    <x v="1"/>
    <n v="38"/>
    <s v="New York"/>
    <x v="1"/>
    <x v="22"/>
    <x v="3"/>
    <x v="22"/>
    <x v="1"/>
    <x v="0"/>
    <x v="1"/>
    <x v="1"/>
    <n v="13"/>
    <x v="5"/>
    <x v="3"/>
  </r>
  <r>
    <n v="1912"/>
    <x v="13"/>
    <x v="0"/>
    <x v="16"/>
    <x v="3"/>
    <n v="81"/>
    <s v="Arizona"/>
    <x v="2"/>
    <x v="0"/>
    <x v="1"/>
    <x v="8"/>
    <x v="1"/>
    <x v="0"/>
    <x v="1"/>
    <x v="1"/>
    <n v="32"/>
    <x v="5"/>
    <x v="4"/>
  </r>
  <r>
    <n v="1913"/>
    <x v="26"/>
    <x v="0"/>
    <x v="1"/>
    <x v="0"/>
    <n v="56"/>
    <s v="Colorado"/>
    <x v="1"/>
    <x v="4"/>
    <x v="0"/>
    <x v="23"/>
    <x v="1"/>
    <x v="4"/>
    <x v="1"/>
    <x v="1"/>
    <n v="5"/>
    <x v="2"/>
    <x v="4"/>
  </r>
  <r>
    <n v="1914"/>
    <x v="34"/>
    <x v="0"/>
    <x v="11"/>
    <x v="0"/>
    <n v="48"/>
    <s v="Kentucky"/>
    <x v="2"/>
    <x v="15"/>
    <x v="0"/>
    <x v="15"/>
    <x v="1"/>
    <x v="0"/>
    <x v="1"/>
    <x v="1"/>
    <n v="29"/>
    <x v="1"/>
    <x v="2"/>
  </r>
  <r>
    <n v="1915"/>
    <x v="48"/>
    <x v="0"/>
    <x v="6"/>
    <x v="0"/>
    <n v="97"/>
    <s v="Alaska"/>
    <x v="0"/>
    <x v="14"/>
    <x v="3"/>
    <x v="23"/>
    <x v="1"/>
    <x v="3"/>
    <x v="1"/>
    <x v="1"/>
    <n v="40"/>
    <x v="2"/>
    <x v="0"/>
  </r>
  <r>
    <n v="1916"/>
    <x v="47"/>
    <x v="0"/>
    <x v="21"/>
    <x v="3"/>
    <n v="74"/>
    <s v="Alabama"/>
    <x v="2"/>
    <x v="23"/>
    <x v="3"/>
    <x v="10"/>
    <x v="1"/>
    <x v="4"/>
    <x v="1"/>
    <x v="1"/>
    <n v="44"/>
    <x v="1"/>
    <x v="1"/>
  </r>
  <r>
    <n v="1917"/>
    <x v="8"/>
    <x v="0"/>
    <x v="15"/>
    <x v="0"/>
    <n v="50"/>
    <s v="Connecticut"/>
    <x v="1"/>
    <x v="19"/>
    <x v="0"/>
    <x v="21"/>
    <x v="1"/>
    <x v="2"/>
    <x v="1"/>
    <x v="1"/>
    <n v="3"/>
    <x v="5"/>
    <x v="4"/>
  </r>
  <r>
    <n v="1918"/>
    <x v="21"/>
    <x v="0"/>
    <x v="11"/>
    <x v="0"/>
    <n v="71"/>
    <s v="Hawaii"/>
    <x v="0"/>
    <x v="13"/>
    <x v="0"/>
    <x v="23"/>
    <x v="1"/>
    <x v="1"/>
    <x v="1"/>
    <x v="1"/>
    <n v="35"/>
    <x v="3"/>
    <x v="4"/>
  </r>
  <r>
    <n v="1919"/>
    <x v="25"/>
    <x v="0"/>
    <x v="11"/>
    <x v="0"/>
    <n v="33"/>
    <s v="Idaho"/>
    <x v="1"/>
    <x v="7"/>
    <x v="2"/>
    <x v="12"/>
    <x v="1"/>
    <x v="3"/>
    <x v="1"/>
    <x v="1"/>
    <n v="33"/>
    <x v="5"/>
    <x v="5"/>
  </r>
  <r>
    <n v="1920"/>
    <x v="50"/>
    <x v="0"/>
    <x v="21"/>
    <x v="3"/>
    <n v="56"/>
    <s v="Virginia"/>
    <x v="2"/>
    <x v="8"/>
    <x v="2"/>
    <x v="0"/>
    <x v="1"/>
    <x v="0"/>
    <x v="1"/>
    <x v="1"/>
    <n v="20"/>
    <x v="3"/>
    <x v="4"/>
  </r>
  <r>
    <n v="1921"/>
    <x v="47"/>
    <x v="0"/>
    <x v="0"/>
    <x v="0"/>
    <n v="84"/>
    <s v="Connecticut"/>
    <x v="2"/>
    <x v="7"/>
    <x v="1"/>
    <x v="11"/>
    <x v="1"/>
    <x v="3"/>
    <x v="1"/>
    <x v="1"/>
    <n v="40"/>
    <x v="1"/>
    <x v="6"/>
  </r>
  <r>
    <n v="1922"/>
    <x v="36"/>
    <x v="0"/>
    <x v="5"/>
    <x v="0"/>
    <n v="36"/>
    <s v="Michigan"/>
    <x v="2"/>
    <x v="14"/>
    <x v="3"/>
    <x v="1"/>
    <x v="1"/>
    <x v="5"/>
    <x v="1"/>
    <x v="1"/>
    <n v="13"/>
    <x v="0"/>
    <x v="2"/>
  </r>
  <r>
    <n v="1923"/>
    <x v="20"/>
    <x v="0"/>
    <x v="24"/>
    <x v="3"/>
    <n v="63"/>
    <s v="Kentucky"/>
    <x v="1"/>
    <x v="15"/>
    <x v="2"/>
    <x v="12"/>
    <x v="1"/>
    <x v="3"/>
    <x v="1"/>
    <x v="1"/>
    <n v="9"/>
    <x v="3"/>
    <x v="5"/>
  </r>
  <r>
    <n v="1924"/>
    <x v="14"/>
    <x v="0"/>
    <x v="3"/>
    <x v="1"/>
    <n v="36"/>
    <s v="Nebraska"/>
    <x v="3"/>
    <x v="24"/>
    <x v="2"/>
    <x v="24"/>
    <x v="1"/>
    <x v="3"/>
    <x v="1"/>
    <x v="1"/>
    <n v="7"/>
    <x v="1"/>
    <x v="2"/>
  </r>
  <r>
    <n v="1925"/>
    <x v="11"/>
    <x v="0"/>
    <x v="14"/>
    <x v="2"/>
    <n v="63"/>
    <s v="Michigan"/>
    <x v="2"/>
    <x v="0"/>
    <x v="3"/>
    <x v="6"/>
    <x v="1"/>
    <x v="1"/>
    <x v="1"/>
    <x v="1"/>
    <n v="42"/>
    <x v="3"/>
    <x v="3"/>
  </r>
  <r>
    <n v="1926"/>
    <x v="35"/>
    <x v="0"/>
    <x v="4"/>
    <x v="1"/>
    <n v="32"/>
    <s v="Utah"/>
    <x v="0"/>
    <x v="13"/>
    <x v="0"/>
    <x v="3"/>
    <x v="1"/>
    <x v="0"/>
    <x v="1"/>
    <x v="1"/>
    <n v="44"/>
    <x v="2"/>
    <x v="0"/>
  </r>
  <r>
    <n v="1927"/>
    <x v="17"/>
    <x v="0"/>
    <x v="21"/>
    <x v="3"/>
    <n v="93"/>
    <s v="New Mexico"/>
    <x v="2"/>
    <x v="5"/>
    <x v="1"/>
    <x v="21"/>
    <x v="1"/>
    <x v="0"/>
    <x v="1"/>
    <x v="1"/>
    <n v="6"/>
    <x v="3"/>
    <x v="2"/>
  </r>
  <r>
    <n v="1928"/>
    <x v="37"/>
    <x v="0"/>
    <x v="13"/>
    <x v="0"/>
    <n v="29"/>
    <s v="Florida"/>
    <x v="2"/>
    <x v="6"/>
    <x v="2"/>
    <x v="3"/>
    <x v="1"/>
    <x v="3"/>
    <x v="1"/>
    <x v="1"/>
    <n v="8"/>
    <x v="1"/>
    <x v="6"/>
  </r>
  <r>
    <n v="1929"/>
    <x v="15"/>
    <x v="0"/>
    <x v="12"/>
    <x v="3"/>
    <n v="92"/>
    <s v="Mississippi"/>
    <x v="1"/>
    <x v="12"/>
    <x v="2"/>
    <x v="18"/>
    <x v="1"/>
    <x v="3"/>
    <x v="1"/>
    <x v="1"/>
    <n v="10"/>
    <x v="3"/>
    <x v="1"/>
  </r>
  <r>
    <n v="1930"/>
    <x v="35"/>
    <x v="0"/>
    <x v="2"/>
    <x v="0"/>
    <n v="33"/>
    <s v="Hawaii"/>
    <x v="0"/>
    <x v="18"/>
    <x v="3"/>
    <x v="10"/>
    <x v="1"/>
    <x v="3"/>
    <x v="1"/>
    <x v="1"/>
    <n v="46"/>
    <x v="0"/>
    <x v="3"/>
  </r>
  <r>
    <n v="1931"/>
    <x v="17"/>
    <x v="0"/>
    <x v="13"/>
    <x v="0"/>
    <n v="52"/>
    <s v="North Carolina"/>
    <x v="0"/>
    <x v="2"/>
    <x v="1"/>
    <x v="1"/>
    <x v="1"/>
    <x v="5"/>
    <x v="1"/>
    <x v="1"/>
    <n v="26"/>
    <x v="1"/>
    <x v="1"/>
  </r>
  <r>
    <n v="1932"/>
    <x v="22"/>
    <x v="0"/>
    <x v="16"/>
    <x v="3"/>
    <n v="42"/>
    <s v="Illinois"/>
    <x v="1"/>
    <x v="8"/>
    <x v="1"/>
    <x v="2"/>
    <x v="1"/>
    <x v="5"/>
    <x v="1"/>
    <x v="1"/>
    <n v="6"/>
    <x v="5"/>
    <x v="6"/>
  </r>
  <r>
    <n v="1933"/>
    <x v="32"/>
    <x v="0"/>
    <x v="15"/>
    <x v="0"/>
    <n v="36"/>
    <s v="Maryland"/>
    <x v="2"/>
    <x v="3"/>
    <x v="1"/>
    <x v="16"/>
    <x v="1"/>
    <x v="1"/>
    <x v="1"/>
    <x v="1"/>
    <n v="47"/>
    <x v="2"/>
    <x v="6"/>
  </r>
  <r>
    <n v="1934"/>
    <x v="39"/>
    <x v="0"/>
    <x v="3"/>
    <x v="1"/>
    <n v="67"/>
    <s v="Montana"/>
    <x v="0"/>
    <x v="10"/>
    <x v="2"/>
    <x v="7"/>
    <x v="1"/>
    <x v="2"/>
    <x v="1"/>
    <x v="1"/>
    <n v="28"/>
    <x v="0"/>
    <x v="2"/>
  </r>
  <r>
    <n v="1935"/>
    <x v="50"/>
    <x v="0"/>
    <x v="14"/>
    <x v="2"/>
    <n v="43"/>
    <s v="Michigan"/>
    <x v="0"/>
    <x v="9"/>
    <x v="0"/>
    <x v="2"/>
    <x v="1"/>
    <x v="1"/>
    <x v="1"/>
    <x v="1"/>
    <n v="23"/>
    <x v="4"/>
    <x v="2"/>
  </r>
  <r>
    <n v="1936"/>
    <x v="1"/>
    <x v="0"/>
    <x v="0"/>
    <x v="0"/>
    <n v="68"/>
    <s v="North Carolina"/>
    <x v="3"/>
    <x v="10"/>
    <x v="1"/>
    <x v="6"/>
    <x v="1"/>
    <x v="1"/>
    <x v="1"/>
    <x v="1"/>
    <n v="45"/>
    <x v="1"/>
    <x v="0"/>
  </r>
  <r>
    <n v="1937"/>
    <x v="27"/>
    <x v="0"/>
    <x v="16"/>
    <x v="3"/>
    <n v="60"/>
    <s v="Minnesota"/>
    <x v="1"/>
    <x v="11"/>
    <x v="2"/>
    <x v="24"/>
    <x v="1"/>
    <x v="4"/>
    <x v="1"/>
    <x v="1"/>
    <n v="44"/>
    <x v="3"/>
    <x v="6"/>
  </r>
  <r>
    <n v="1938"/>
    <x v="49"/>
    <x v="0"/>
    <x v="20"/>
    <x v="0"/>
    <n v="53"/>
    <s v="Delaware"/>
    <x v="2"/>
    <x v="8"/>
    <x v="2"/>
    <x v="9"/>
    <x v="1"/>
    <x v="4"/>
    <x v="1"/>
    <x v="1"/>
    <n v="11"/>
    <x v="4"/>
    <x v="5"/>
  </r>
  <r>
    <n v="1939"/>
    <x v="5"/>
    <x v="0"/>
    <x v="2"/>
    <x v="0"/>
    <n v="23"/>
    <s v="Kentucky"/>
    <x v="0"/>
    <x v="24"/>
    <x v="1"/>
    <x v="22"/>
    <x v="1"/>
    <x v="3"/>
    <x v="1"/>
    <x v="1"/>
    <n v="39"/>
    <x v="5"/>
    <x v="4"/>
  </r>
  <r>
    <n v="1940"/>
    <x v="17"/>
    <x v="0"/>
    <x v="24"/>
    <x v="3"/>
    <n v="57"/>
    <s v="Ohio"/>
    <x v="0"/>
    <x v="23"/>
    <x v="0"/>
    <x v="18"/>
    <x v="1"/>
    <x v="5"/>
    <x v="1"/>
    <x v="1"/>
    <n v="20"/>
    <x v="3"/>
    <x v="6"/>
  </r>
  <r>
    <n v="1941"/>
    <x v="2"/>
    <x v="0"/>
    <x v="19"/>
    <x v="3"/>
    <n v="89"/>
    <s v="Alaska"/>
    <x v="0"/>
    <x v="0"/>
    <x v="3"/>
    <x v="20"/>
    <x v="1"/>
    <x v="4"/>
    <x v="1"/>
    <x v="1"/>
    <n v="48"/>
    <x v="3"/>
    <x v="0"/>
  </r>
  <r>
    <n v="1942"/>
    <x v="0"/>
    <x v="0"/>
    <x v="9"/>
    <x v="1"/>
    <n v="99"/>
    <s v="Vermont"/>
    <x v="3"/>
    <x v="15"/>
    <x v="0"/>
    <x v="13"/>
    <x v="1"/>
    <x v="3"/>
    <x v="1"/>
    <x v="1"/>
    <n v="46"/>
    <x v="2"/>
    <x v="3"/>
  </r>
  <r>
    <n v="1943"/>
    <x v="6"/>
    <x v="0"/>
    <x v="13"/>
    <x v="0"/>
    <n v="28"/>
    <s v="Alabama"/>
    <x v="2"/>
    <x v="17"/>
    <x v="3"/>
    <x v="23"/>
    <x v="1"/>
    <x v="0"/>
    <x v="1"/>
    <x v="1"/>
    <n v="22"/>
    <x v="3"/>
    <x v="5"/>
  </r>
  <r>
    <n v="1944"/>
    <x v="45"/>
    <x v="0"/>
    <x v="20"/>
    <x v="0"/>
    <n v="53"/>
    <s v="Wisconsin"/>
    <x v="0"/>
    <x v="10"/>
    <x v="2"/>
    <x v="22"/>
    <x v="1"/>
    <x v="2"/>
    <x v="1"/>
    <x v="1"/>
    <n v="45"/>
    <x v="1"/>
    <x v="2"/>
  </r>
  <r>
    <n v="1945"/>
    <x v="11"/>
    <x v="0"/>
    <x v="15"/>
    <x v="0"/>
    <n v="45"/>
    <s v="Arkansas"/>
    <x v="2"/>
    <x v="9"/>
    <x v="0"/>
    <x v="2"/>
    <x v="1"/>
    <x v="1"/>
    <x v="1"/>
    <x v="1"/>
    <n v="49"/>
    <x v="1"/>
    <x v="6"/>
  </r>
  <r>
    <n v="1946"/>
    <x v="25"/>
    <x v="0"/>
    <x v="15"/>
    <x v="0"/>
    <n v="38"/>
    <s v="Georgia"/>
    <x v="2"/>
    <x v="9"/>
    <x v="0"/>
    <x v="3"/>
    <x v="1"/>
    <x v="4"/>
    <x v="1"/>
    <x v="1"/>
    <n v="9"/>
    <x v="2"/>
    <x v="6"/>
  </r>
  <r>
    <n v="1947"/>
    <x v="35"/>
    <x v="0"/>
    <x v="13"/>
    <x v="0"/>
    <n v="49"/>
    <s v="Louisiana"/>
    <x v="2"/>
    <x v="3"/>
    <x v="2"/>
    <x v="9"/>
    <x v="1"/>
    <x v="3"/>
    <x v="1"/>
    <x v="1"/>
    <n v="41"/>
    <x v="2"/>
    <x v="3"/>
  </r>
  <r>
    <n v="1948"/>
    <x v="35"/>
    <x v="0"/>
    <x v="5"/>
    <x v="0"/>
    <n v="32"/>
    <s v="New York"/>
    <x v="2"/>
    <x v="0"/>
    <x v="2"/>
    <x v="5"/>
    <x v="1"/>
    <x v="5"/>
    <x v="1"/>
    <x v="1"/>
    <n v="2"/>
    <x v="3"/>
    <x v="5"/>
  </r>
  <r>
    <n v="1949"/>
    <x v="22"/>
    <x v="0"/>
    <x v="17"/>
    <x v="0"/>
    <n v="37"/>
    <s v="Connecticut"/>
    <x v="0"/>
    <x v="18"/>
    <x v="0"/>
    <x v="0"/>
    <x v="1"/>
    <x v="2"/>
    <x v="1"/>
    <x v="1"/>
    <n v="39"/>
    <x v="3"/>
    <x v="4"/>
  </r>
  <r>
    <n v="1950"/>
    <x v="6"/>
    <x v="0"/>
    <x v="10"/>
    <x v="0"/>
    <n v="80"/>
    <s v="Nebraska"/>
    <x v="0"/>
    <x v="0"/>
    <x v="0"/>
    <x v="10"/>
    <x v="1"/>
    <x v="5"/>
    <x v="1"/>
    <x v="1"/>
    <n v="12"/>
    <x v="3"/>
    <x v="3"/>
  </r>
  <r>
    <n v="1951"/>
    <x v="49"/>
    <x v="0"/>
    <x v="21"/>
    <x v="3"/>
    <n v="78"/>
    <s v="Arkansas"/>
    <x v="0"/>
    <x v="24"/>
    <x v="2"/>
    <x v="12"/>
    <x v="1"/>
    <x v="1"/>
    <x v="1"/>
    <x v="1"/>
    <n v="26"/>
    <x v="3"/>
    <x v="6"/>
  </r>
  <r>
    <n v="1952"/>
    <x v="23"/>
    <x v="0"/>
    <x v="24"/>
    <x v="3"/>
    <n v="53"/>
    <s v="Connecticut"/>
    <x v="0"/>
    <x v="9"/>
    <x v="2"/>
    <x v="2"/>
    <x v="1"/>
    <x v="2"/>
    <x v="1"/>
    <x v="1"/>
    <n v="32"/>
    <x v="4"/>
    <x v="4"/>
  </r>
  <r>
    <n v="1953"/>
    <x v="9"/>
    <x v="0"/>
    <x v="9"/>
    <x v="1"/>
    <n v="82"/>
    <s v="Maryland"/>
    <x v="0"/>
    <x v="22"/>
    <x v="2"/>
    <x v="12"/>
    <x v="1"/>
    <x v="4"/>
    <x v="1"/>
    <x v="1"/>
    <n v="50"/>
    <x v="1"/>
    <x v="4"/>
  </r>
  <r>
    <n v="1954"/>
    <x v="15"/>
    <x v="0"/>
    <x v="11"/>
    <x v="0"/>
    <n v="33"/>
    <s v="Colorado"/>
    <x v="3"/>
    <x v="14"/>
    <x v="1"/>
    <x v="6"/>
    <x v="1"/>
    <x v="3"/>
    <x v="1"/>
    <x v="1"/>
    <n v="3"/>
    <x v="3"/>
    <x v="0"/>
  </r>
  <r>
    <n v="1955"/>
    <x v="8"/>
    <x v="0"/>
    <x v="24"/>
    <x v="3"/>
    <n v="77"/>
    <s v="Colorado"/>
    <x v="2"/>
    <x v="6"/>
    <x v="0"/>
    <x v="19"/>
    <x v="1"/>
    <x v="1"/>
    <x v="1"/>
    <x v="1"/>
    <n v="3"/>
    <x v="0"/>
    <x v="3"/>
  </r>
  <r>
    <n v="1956"/>
    <x v="2"/>
    <x v="0"/>
    <x v="15"/>
    <x v="0"/>
    <n v="56"/>
    <s v="Maine"/>
    <x v="2"/>
    <x v="6"/>
    <x v="0"/>
    <x v="8"/>
    <x v="1"/>
    <x v="0"/>
    <x v="1"/>
    <x v="1"/>
    <n v="37"/>
    <x v="1"/>
    <x v="5"/>
  </r>
  <r>
    <n v="1957"/>
    <x v="27"/>
    <x v="0"/>
    <x v="20"/>
    <x v="0"/>
    <n v="37"/>
    <s v="Oklahoma"/>
    <x v="2"/>
    <x v="6"/>
    <x v="0"/>
    <x v="8"/>
    <x v="1"/>
    <x v="0"/>
    <x v="1"/>
    <x v="1"/>
    <n v="20"/>
    <x v="2"/>
    <x v="0"/>
  </r>
  <r>
    <n v="1958"/>
    <x v="33"/>
    <x v="0"/>
    <x v="24"/>
    <x v="3"/>
    <n v="54"/>
    <s v="South Carolina"/>
    <x v="2"/>
    <x v="17"/>
    <x v="1"/>
    <x v="9"/>
    <x v="1"/>
    <x v="5"/>
    <x v="1"/>
    <x v="1"/>
    <n v="26"/>
    <x v="1"/>
    <x v="4"/>
  </r>
  <r>
    <n v="1959"/>
    <x v="31"/>
    <x v="0"/>
    <x v="6"/>
    <x v="0"/>
    <n v="67"/>
    <s v="Nevada"/>
    <x v="2"/>
    <x v="0"/>
    <x v="0"/>
    <x v="2"/>
    <x v="1"/>
    <x v="5"/>
    <x v="1"/>
    <x v="1"/>
    <n v="47"/>
    <x v="1"/>
    <x v="3"/>
  </r>
  <r>
    <n v="1960"/>
    <x v="5"/>
    <x v="0"/>
    <x v="9"/>
    <x v="1"/>
    <n v="90"/>
    <s v="Colorado"/>
    <x v="2"/>
    <x v="3"/>
    <x v="3"/>
    <x v="0"/>
    <x v="1"/>
    <x v="5"/>
    <x v="1"/>
    <x v="1"/>
    <n v="7"/>
    <x v="2"/>
    <x v="6"/>
  </r>
  <r>
    <n v="1961"/>
    <x v="9"/>
    <x v="0"/>
    <x v="2"/>
    <x v="0"/>
    <n v="72"/>
    <s v="Massachusetts"/>
    <x v="0"/>
    <x v="16"/>
    <x v="2"/>
    <x v="13"/>
    <x v="1"/>
    <x v="4"/>
    <x v="1"/>
    <x v="1"/>
    <n v="40"/>
    <x v="2"/>
    <x v="2"/>
  </r>
  <r>
    <n v="1962"/>
    <x v="36"/>
    <x v="0"/>
    <x v="23"/>
    <x v="1"/>
    <n v="59"/>
    <s v="Nevada"/>
    <x v="0"/>
    <x v="13"/>
    <x v="2"/>
    <x v="5"/>
    <x v="1"/>
    <x v="1"/>
    <x v="1"/>
    <x v="1"/>
    <n v="45"/>
    <x v="5"/>
    <x v="3"/>
  </r>
  <r>
    <n v="1963"/>
    <x v="37"/>
    <x v="0"/>
    <x v="19"/>
    <x v="3"/>
    <n v="45"/>
    <s v="Iowa"/>
    <x v="2"/>
    <x v="5"/>
    <x v="3"/>
    <x v="14"/>
    <x v="1"/>
    <x v="3"/>
    <x v="1"/>
    <x v="1"/>
    <n v="20"/>
    <x v="3"/>
    <x v="0"/>
  </r>
  <r>
    <n v="1964"/>
    <x v="16"/>
    <x v="0"/>
    <x v="6"/>
    <x v="0"/>
    <n v="30"/>
    <s v="Michigan"/>
    <x v="0"/>
    <x v="6"/>
    <x v="1"/>
    <x v="20"/>
    <x v="1"/>
    <x v="3"/>
    <x v="1"/>
    <x v="1"/>
    <n v="11"/>
    <x v="2"/>
    <x v="1"/>
  </r>
  <r>
    <n v="1965"/>
    <x v="37"/>
    <x v="0"/>
    <x v="13"/>
    <x v="0"/>
    <n v="51"/>
    <s v="West Virginia"/>
    <x v="1"/>
    <x v="17"/>
    <x v="2"/>
    <x v="12"/>
    <x v="1"/>
    <x v="0"/>
    <x v="1"/>
    <x v="1"/>
    <n v="50"/>
    <x v="5"/>
    <x v="5"/>
  </r>
  <r>
    <n v="1966"/>
    <x v="29"/>
    <x v="0"/>
    <x v="1"/>
    <x v="0"/>
    <n v="90"/>
    <s v="Indiana"/>
    <x v="2"/>
    <x v="3"/>
    <x v="3"/>
    <x v="8"/>
    <x v="1"/>
    <x v="0"/>
    <x v="1"/>
    <x v="1"/>
    <n v="25"/>
    <x v="5"/>
    <x v="3"/>
  </r>
  <r>
    <n v="1967"/>
    <x v="29"/>
    <x v="0"/>
    <x v="14"/>
    <x v="2"/>
    <n v="95"/>
    <s v="Indiana"/>
    <x v="3"/>
    <x v="7"/>
    <x v="0"/>
    <x v="18"/>
    <x v="1"/>
    <x v="0"/>
    <x v="1"/>
    <x v="1"/>
    <n v="5"/>
    <x v="2"/>
    <x v="0"/>
  </r>
  <r>
    <n v="1968"/>
    <x v="43"/>
    <x v="0"/>
    <x v="10"/>
    <x v="0"/>
    <n v="81"/>
    <s v="Georgia"/>
    <x v="0"/>
    <x v="22"/>
    <x v="3"/>
    <x v="18"/>
    <x v="1"/>
    <x v="3"/>
    <x v="1"/>
    <x v="1"/>
    <n v="4"/>
    <x v="0"/>
    <x v="2"/>
  </r>
  <r>
    <n v="1969"/>
    <x v="29"/>
    <x v="0"/>
    <x v="5"/>
    <x v="0"/>
    <n v="70"/>
    <s v="Minnesota"/>
    <x v="1"/>
    <x v="24"/>
    <x v="1"/>
    <x v="19"/>
    <x v="1"/>
    <x v="3"/>
    <x v="1"/>
    <x v="1"/>
    <n v="25"/>
    <x v="2"/>
    <x v="1"/>
  </r>
  <r>
    <n v="1970"/>
    <x v="14"/>
    <x v="0"/>
    <x v="10"/>
    <x v="0"/>
    <n v="32"/>
    <s v="Louisiana"/>
    <x v="1"/>
    <x v="17"/>
    <x v="0"/>
    <x v="1"/>
    <x v="1"/>
    <x v="2"/>
    <x v="1"/>
    <x v="1"/>
    <n v="11"/>
    <x v="4"/>
    <x v="0"/>
  </r>
  <r>
    <n v="1971"/>
    <x v="48"/>
    <x v="0"/>
    <x v="22"/>
    <x v="3"/>
    <n v="94"/>
    <s v="Maryland"/>
    <x v="2"/>
    <x v="21"/>
    <x v="1"/>
    <x v="3"/>
    <x v="1"/>
    <x v="2"/>
    <x v="1"/>
    <x v="1"/>
    <n v="4"/>
    <x v="2"/>
    <x v="4"/>
  </r>
  <r>
    <n v="1972"/>
    <x v="22"/>
    <x v="0"/>
    <x v="19"/>
    <x v="3"/>
    <n v="29"/>
    <s v="Pennsylvania"/>
    <x v="3"/>
    <x v="21"/>
    <x v="1"/>
    <x v="23"/>
    <x v="1"/>
    <x v="2"/>
    <x v="1"/>
    <x v="1"/>
    <n v="1"/>
    <x v="0"/>
    <x v="5"/>
  </r>
  <r>
    <n v="1973"/>
    <x v="22"/>
    <x v="0"/>
    <x v="21"/>
    <x v="3"/>
    <n v="31"/>
    <s v="Louisiana"/>
    <x v="2"/>
    <x v="5"/>
    <x v="2"/>
    <x v="13"/>
    <x v="1"/>
    <x v="0"/>
    <x v="1"/>
    <x v="1"/>
    <n v="48"/>
    <x v="3"/>
    <x v="6"/>
  </r>
  <r>
    <n v="1974"/>
    <x v="41"/>
    <x v="0"/>
    <x v="11"/>
    <x v="0"/>
    <n v="20"/>
    <s v="Maryland"/>
    <x v="3"/>
    <x v="16"/>
    <x v="3"/>
    <x v="9"/>
    <x v="1"/>
    <x v="3"/>
    <x v="1"/>
    <x v="1"/>
    <n v="9"/>
    <x v="0"/>
    <x v="6"/>
  </r>
  <r>
    <n v="1975"/>
    <x v="7"/>
    <x v="0"/>
    <x v="24"/>
    <x v="3"/>
    <n v="44"/>
    <s v="Tennessee"/>
    <x v="2"/>
    <x v="15"/>
    <x v="0"/>
    <x v="12"/>
    <x v="1"/>
    <x v="4"/>
    <x v="1"/>
    <x v="1"/>
    <n v="2"/>
    <x v="3"/>
    <x v="0"/>
  </r>
  <r>
    <n v="1976"/>
    <x v="10"/>
    <x v="0"/>
    <x v="14"/>
    <x v="2"/>
    <n v="77"/>
    <s v="Illinois"/>
    <x v="0"/>
    <x v="2"/>
    <x v="3"/>
    <x v="3"/>
    <x v="1"/>
    <x v="0"/>
    <x v="1"/>
    <x v="1"/>
    <n v="4"/>
    <x v="1"/>
    <x v="3"/>
  </r>
  <r>
    <n v="1977"/>
    <x v="45"/>
    <x v="0"/>
    <x v="8"/>
    <x v="3"/>
    <n v="51"/>
    <s v="Wyoming"/>
    <x v="2"/>
    <x v="6"/>
    <x v="1"/>
    <x v="4"/>
    <x v="1"/>
    <x v="2"/>
    <x v="1"/>
    <x v="1"/>
    <n v="43"/>
    <x v="3"/>
    <x v="0"/>
  </r>
  <r>
    <n v="1978"/>
    <x v="41"/>
    <x v="0"/>
    <x v="3"/>
    <x v="1"/>
    <n v="49"/>
    <s v="Florida"/>
    <x v="2"/>
    <x v="11"/>
    <x v="2"/>
    <x v="5"/>
    <x v="1"/>
    <x v="1"/>
    <x v="1"/>
    <x v="1"/>
    <n v="32"/>
    <x v="4"/>
    <x v="2"/>
  </r>
  <r>
    <n v="1979"/>
    <x v="4"/>
    <x v="0"/>
    <x v="12"/>
    <x v="3"/>
    <n v="78"/>
    <s v="Massachusetts"/>
    <x v="0"/>
    <x v="23"/>
    <x v="1"/>
    <x v="22"/>
    <x v="1"/>
    <x v="5"/>
    <x v="1"/>
    <x v="1"/>
    <n v="1"/>
    <x v="1"/>
    <x v="3"/>
  </r>
  <r>
    <n v="1980"/>
    <x v="34"/>
    <x v="0"/>
    <x v="2"/>
    <x v="0"/>
    <n v="98"/>
    <s v="Tennessee"/>
    <x v="0"/>
    <x v="24"/>
    <x v="1"/>
    <x v="11"/>
    <x v="1"/>
    <x v="5"/>
    <x v="1"/>
    <x v="1"/>
    <n v="38"/>
    <x v="5"/>
    <x v="0"/>
  </r>
  <r>
    <n v="1981"/>
    <x v="47"/>
    <x v="0"/>
    <x v="3"/>
    <x v="1"/>
    <n v="94"/>
    <s v="Iowa"/>
    <x v="2"/>
    <x v="14"/>
    <x v="0"/>
    <x v="14"/>
    <x v="1"/>
    <x v="5"/>
    <x v="1"/>
    <x v="1"/>
    <n v="25"/>
    <x v="3"/>
    <x v="0"/>
  </r>
  <r>
    <n v="1982"/>
    <x v="28"/>
    <x v="0"/>
    <x v="9"/>
    <x v="1"/>
    <n v="91"/>
    <s v="Michigan"/>
    <x v="0"/>
    <x v="10"/>
    <x v="2"/>
    <x v="10"/>
    <x v="1"/>
    <x v="0"/>
    <x v="1"/>
    <x v="1"/>
    <n v="42"/>
    <x v="3"/>
    <x v="3"/>
  </r>
  <r>
    <n v="1983"/>
    <x v="38"/>
    <x v="0"/>
    <x v="12"/>
    <x v="3"/>
    <n v="77"/>
    <s v="Kansas"/>
    <x v="2"/>
    <x v="2"/>
    <x v="2"/>
    <x v="2"/>
    <x v="1"/>
    <x v="4"/>
    <x v="1"/>
    <x v="1"/>
    <n v="32"/>
    <x v="3"/>
    <x v="5"/>
  </r>
  <r>
    <n v="1984"/>
    <x v="35"/>
    <x v="0"/>
    <x v="18"/>
    <x v="3"/>
    <n v="97"/>
    <s v="Georgia"/>
    <x v="2"/>
    <x v="6"/>
    <x v="2"/>
    <x v="5"/>
    <x v="1"/>
    <x v="2"/>
    <x v="1"/>
    <x v="1"/>
    <n v="21"/>
    <x v="5"/>
    <x v="3"/>
  </r>
  <r>
    <n v="1985"/>
    <x v="8"/>
    <x v="0"/>
    <x v="11"/>
    <x v="0"/>
    <n v="58"/>
    <s v="West Virginia"/>
    <x v="2"/>
    <x v="13"/>
    <x v="2"/>
    <x v="23"/>
    <x v="1"/>
    <x v="4"/>
    <x v="1"/>
    <x v="1"/>
    <n v="26"/>
    <x v="3"/>
    <x v="0"/>
  </r>
  <r>
    <n v="1986"/>
    <x v="51"/>
    <x v="0"/>
    <x v="24"/>
    <x v="3"/>
    <n v="97"/>
    <s v="Tennessee"/>
    <x v="2"/>
    <x v="9"/>
    <x v="1"/>
    <x v="20"/>
    <x v="1"/>
    <x v="4"/>
    <x v="1"/>
    <x v="1"/>
    <n v="6"/>
    <x v="2"/>
    <x v="0"/>
  </r>
  <r>
    <n v="1987"/>
    <x v="46"/>
    <x v="0"/>
    <x v="7"/>
    <x v="2"/>
    <n v="48"/>
    <s v="Arkansas"/>
    <x v="0"/>
    <x v="14"/>
    <x v="2"/>
    <x v="23"/>
    <x v="1"/>
    <x v="4"/>
    <x v="1"/>
    <x v="1"/>
    <n v="14"/>
    <x v="0"/>
    <x v="3"/>
  </r>
  <r>
    <n v="1988"/>
    <x v="28"/>
    <x v="0"/>
    <x v="22"/>
    <x v="3"/>
    <n v="23"/>
    <s v="Vermont"/>
    <x v="3"/>
    <x v="3"/>
    <x v="2"/>
    <x v="23"/>
    <x v="1"/>
    <x v="0"/>
    <x v="1"/>
    <x v="1"/>
    <n v="4"/>
    <x v="1"/>
    <x v="3"/>
  </r>
  <r>
    <n v="1989"/>
    <x v="5"/>
    <x v="0"/>
    <x v="13"/>
    <x v="0"/>
    <n v="79"/>
    <s v="Virginia"/>
    <x v="2"/>
    <x v="9"/>
    <x v="0"/>
    <x v="20"/>
    <x v="1"/>
    <x v="1"/>
    <x v="1"/>
    <x v="1"/>
    <n v="26"/>
    <x v="4"/>
    <x v="1"/>
  </r>
  <r>
    <n v="1990"/>
    <x v="25"/>
    <x v="0"/>
    <x v="16"/>
    <x v="3"/>
    <n v="42"/>
    <s v="Maryland"/>
    <x v="1"/>
    <x v="4"/>
    <x v="1"/>
    <x v="17"/>
    <x v="1"/>
    <x v="0"/>
    <x v="1"/>
    <x v="1"/>
    <n v="39"/>
    <x v="3"/>
    <x v="4"/>
  </r>
  <r>
    <n v="1991"/>
    <x v="45"/>
    <x v="0"/>
    <x v="21"/>
    <x v="3"/>
    <n v="95"/>
    <s v="Connecticut"/>
    <x v="0"/>
    <x v="3"/>
    <x v="1"/>
    <x v="23"/>
    <x v="1"/>
    <x v="4"/>
    <x v="1"/>
    <x v="1"/>
    <n v="15"/>
    <x v="3"/>
    <x v="2"/>
  </r>
  <r>
    <n v="1992"/>
    <x v="5"/>
    <x v="0"/>
    <x v="4"/>
    <x v="1"/>
    <n v="29"/>
    <s v="Missouri"/>
    <x v="2"/>
    <x v="18"/>
    <x v="2"/>
    <x v="18"/>
    <x v="1"/>
    <x v="2"/>
    <x v="1"/>
    <x v="1"/>
    <n v="1"/>
    <x v="0"/>
    <x v="6"/>
  </r>
  <r>
    <n v="1993"/>
    <x v="23"/>
    <x v="0"/>
    <x v="15"/>
    <x v="0"/>
    <n v="98"/>
    <s v="New Jersey"/>
    <x v="0"/>
    <x v="9"/>
    <x v="0"/>
    <x v="8"/>
    <x v="1"/>
    <x v="4"/>
    <x v="1"/>
    <x v="1"/>
    <n v="28"/>
    <x v="0"/>
    <x v="5"/>
  </r>
  <r>
    <n v="1994"/>
    <x v="45"/>
    <x v="0"/>
    <x v="0"/>
    <x v="0"/>
    <n v="96"/>
    <s v="Arkansas"/>
    <x v="1"/>
    <x v="7"/>
    <x v="1"/>
    <x v="16"/>
    <x v="1"/>
    <x v="0"/>
    <x v="1"/>
    <x v="1"/>
    <n v="17"/>
    <x v="1"/>
    <x v="1"/>
  </r>
  <r>
    <n v="1995"/>
    <x v="23"/>
    <x v="0"/>
    <x v="12"/>
    <x v="3"/>
    <n v="66"/>
    <s v="Nevada"/>
    <x v="2"/>
    <x v="18"/>
    <x v="3"/>
    <x v="3"/>
    <x v="1"/>
    <x v="2"/>
    <x v="1"/>
    <x v="1"/>
    <n v="24"/>
    <x v="2"/>
    <x v="1"/>
  </r>
  <r>
    <n v="1996"/>
    <x v="29"/>
    <x v="0"/>
    <x v="23"/>
    <x v="1"/>
    <n v="80"/>
    <s v="Missouri"/>
    <x v="1"/>
    <x v="11"/>
    <x v="1"/>
    <x v="21"/>
    <x v="1"/>
    <x v="3"/>
    <x v="1"/>
    <x v="1"/>
    <n v="29"/>
    <x v="5"/>
    <x v="3"/>
  </r>
  <r>
    <n v="1997"/>
    <x v="29"/>
    <x v="0"/>
    <x v="4"/>
    <x v="1"/>
    <n v="27"/>
    <s v="South Dakota"/>
    <x v="0"/>
    <x v="21"/>
    <x v="2"/>
    <x v="13"/>
    <x v="1"/>
    <x v="2"/>
    <x v="1"/>
    <x v="1"/>
    <n v="18"/>
    <x v="1"/>
    <x v="6"/>
  </r>
  <r>
    <n v="1998"/>
    <x v="32"/>
    <x v="0"/>
    <x v="21"/>
    <x v="3"/>
    <n v="25"/>
    <s v="Connecticut"/>
    <x v="2"/>
    <x v="7"/>
    <x v="3"/>
    <x v="10"/>
    <x v="1"/>
    <x v="0"/>
    <x v="1"/>
    <x v="1"/>
    <n v="10"/>
    <x v="5"/>
    <x v="4"/>
  </r>
  <r>
    <n v="1999"/>
    <x v="30"/>
    <x v="0"/>
    <x v="13"/>
    <x v="0"/>
    <n v="45"/>
    <s v="Vermont"/>
    <x v="2"/>
    <x v="20"/>
    <x v="3"/>
    <x v="23"/>
    <x v="1"/>
    <x v="4"/>
    <x v="1"/>
    <x v="1"/>
    <n v="19"/>
    <x v="1"/>
    <x v="3"/>
  </r>
  <r>
    <n v="2000"/>
    <x v="31"/>
    <x v="0"/>
    <x v="20"/>
    <x v="0"/>
    <n v="89"/>
    <s v="Tennessee"/>
    <x v="0"/>
    <x v="21"/>
    <x v="0"/>
    <x v="12"/>
    <x v="1"/>
    <x v="4"/>
    <x v="1"/>
    <x v="1"/>
    <n v="26"/>
    <x v="5"/>
    <x v="5"/>
  </r>
  <r>
    <n v="2001"/>
    <x v="8"/>
    <x v="0"/>
    <x v="22"/>
    <x v="3"/>
    <n v="27"/>
    <s v="California"/>
    <x v="2"/>
    <x v="12"/>
    <x v="0"/>
    <x v="15"/>
    <x v="1"/>
    <x v="4"/>
    <x v="1"/>
    <x v="1"/>
    <n v="25"/>
    <x v="1"/>
    <x v="4"/>
  </r>
  <r>
    <n v="2002"/>
    <x v="47"/>
    <x v="0"/>
    <x v="12"/>
    <x v="3"/>
    <n v="90"/>
    <s v="Wyoming"/>
    <x v="1"/>
    <x v="7"/>
    <x v="0"/>
    <x v="5"/>
    <x v="1"/>
    <x v="1"/>
    <x v="1"/>
    <x v="1"/>
    <n v="2"/>
    <x v="5"/>
    <x v="0"/>
  </r>
  <r>
    <n v="2003"/>
    <x v="18"/>
    <x v="0"/>
    <x v="5"/>
    <x v="0"/>
    <n v="65"/>
    <s v="New York"/>
    <x v="2"/>
    <x v="16"/>
    <x v="2"/>
    <x v="2"/>
    <x v="1"/>
    <x v="0"/>
    <x v="1"/>
    <x v="1"/>
    <n v="19"/>
    <x v="3"/>
    <x v="6"/>
  </r>
  <r>
    <n v="2004"/>
    <x v="33"/>
    <x v="0"/>
    <x v="4"/>
    <x v="1"/>
    <n v="72"/>
    <s v="Maine"/>
    <x v="1"/>
    <x v="24"/>
    <x v="1"/>
    <x v="0"/>
    <x v="1"/>
    <x v="0"/>
    <x v="1"/>
    <x v="1"/>
    <n v="32"/>
    <x v="1"/>
    <x v="3"/>
  </r>
  <r>
    <n v="2005"/>
    <x v="42"/>
    <x v="0"/>
    <x v="9"/>
    <x v="1"/>
    <n v="70"/>
    <s v="Georgia"/>
    <x v="0"/>
    <x v="24"/>
    <x v="3"/>
    <x v="4"/>
    <x v="1"/>
    <x v="4"/>
    <x v="1"/>
    <x v="1"/>
    <n v="13"/>
    <x v="1"/>
    <x v="4"/>
  </r>
  <r>
    <n v="2006"/>
    <x v="20"/>
    <x v="0"/>
    <x v="3"/>
    <x v="1"/>
    <n v="82"/>
    <s v="Tennessee"/>
    <x v="2"/>
    <x v="17"/>
    <x v="0"/>
    <x v="23"/>
    <x v="1"/>
    <x v="5"/>
    <x v="1"/>
    <x v="1"/>
    <n v="30"/>
    <x v="3"/>
    <x v="0"/>
  </r>
  <r>
    <n v="2007"/>
    <x v="44"/>
    <x v="0"/>
    <x v="18"/>
    <x v="3"/>
    <n v="97"/>
    <s v="New Mexico"/>
    <x v="1"/>
    <x v="6"/>
    <x v="3"/>
    <x v="14"/>
    <x v="1"/>
    <x v="0"/>
    <x v="1"/>
    <x v="1"/>
    <n v="2"/>
    <x v="2"/>
    <x v="2"/>
  </r>
  <r>
    <n v="2008"/>
    <x v="8"/>
    <x v="0"/>
    <x v="5"/>
    <x v="0"/>
    <n v="25"/>
    <s v="Virginia"/>
    <x v="2"/>
    <x v="5"/>
    <x v="2"/>
    <x v="4"/>
    <x v="1"/>
    <x v="4"/>
    <x v="1"/>
    <x v="1"/>
    <n v="8"/>
    <x v="3"/>
    <x v="3"/>
  </r>
  <r>
    <n v="2009"/>
    <x v="9"/>
    <x v="0"/>
    <x v="11"/>
    <x v="0"/>
    <n v="48"/>
    <s v="Florida"/>
    <x v="2"/>
    <x v="0"/>
    <x v="1"/>
    <x v="25"/>
    <x v="1"/>
    <x v="1"/>
    <x v="1"/>
    <x v="1"/>
    <n v="27"/>
    <x v="3"/>
    <x v="6"/>
  </r>
  <r>
    <n v="2010"/>
    <x v="43"/>
    <x v="0"/>
    <x v="23"/>
    <x v="1"/>
    <n v="99"/>
    <s v="Alabama"/>
    <x v="2"/>
    <x v="21"/>
    <x v="2"/>
    <x v="22"/>
    <x v="1"/>
    <x v="2"/>
    <x v="1"/>
    <x v="1"/>
    <n v="26"/>
    <x v="0"/>
    <x v="4"/>
  </r>
  <r>
    <n v="2011"/>
    <x v="41"/>
    <x v="0"/>
    <x v="1"/>
    <x v="0"/>
    <n v="21"/>
    <s v="Texas"/>
    <x v="2"/>
    <x v="1"/>
    <x v="2"/>
    <x v="14"/>
    <x v="1"/>
    <x v="4"/>
    <x v="1"/>
    <x v="1"/>
    <n v="3"/>
    <x v="5"/>
    <x v="4"/>
  </r>
  <r>
    <n v="2012"/>
    <x v="9"/>
    <x v="0"/>
    <x v="3"/>
    <x v="1"/>
    <n v="94"/>
    <s v="West Virginia"/>
    <x v="2"/>
    <x v="19"/>
    <x v="1"/>
    <x v="18"/>
    <x v="1"/>
    <x v="0"/>
    <x v="1"/>
    <x v="1"/>
    <n v="4"/>
    <x v="4"/>
    <x v="5"/>
  </r>
  <r>
    <n v="2013"/>
    <x v="39"/>
    <x v="0"/>
    <x v="2"/>
    <x v="0"/>
    <n v="53"/>
    <s v="Nevada"/>
    <x v="0"/>
    <x v="14"/>
    <x v="3"/>
    <x v="4"/>
    <x v="1"/>
    <x v="5"/>
    <x v="1"/>
    <x v="1"/>
    <n v="5"/>
    <x v="1"/>
    <x v="0"/>
  </r>
  <r>
    <n v="2014"/>
    <x v="31"/>
    <x v="0"/>
    <x v="21"/>
    <x v="3"/>
    <n v="70"/>
    <s v="Virginia"/>
    <x v="2"/>
    <x v="15"/>
    <x v="0"/>
    <x v="8"/>
    <x v="1"/>
    <x v="3"/>
    <x v="1"/>
    <x v="1"/>
    <n v="25"/>
    <x v="5"/>
    <x v="3"/>
  </r>
  <r>
    <n v="2015"/>
    <x v="47"/>
    <x v="0"/>
    <x v="11"/>
    <x v="0"/>
    <n v="26"/>
    <s v="Wisconsin"/>
    <x v="0"/>
    <x v="13"/>
    <x v="2"/>
    <x v="20"/>
    <x v="1"/>
    <x v="3"/>
    <x v="1"/>
    <x v="1"/>
    <n v="47"/>
    <x v="3"/>
    <x v="4"/>
  </r>
  <r>
    <n v="2016"/>
    <x v="9"/>
    <x v="0"/>
    <x v="22"/>
    <x v="3"/>
    <n v="82"/>
    <s v="Virginia"/>
    <x v="1"/>
    <x v="6"/>
    <x v="2"/>
    <x v="9"/>
    <x v="1"/>
    <x v="2"/>
    <x v="1"/>
    <x v="1"/>
    <n v="8"/>
    <x v="2"/>
    <x v="0"/>
  </r>
  <r>
    <n v="2017"/>
    <x v="10"/>
    <x v="0"/>
    <x v="9"/>
    <x v="1"/>
    <n v="47"/>
    <s v="Maine"/>
    <x v="1"/>
    <x v="10"/>
    <x v="0"/>
    <x v="23"/>
    <x v="1"/>
    <x v="3"/>
    <x v="1"/>
    <x v="1"/>
    <n v="20"/>
    <x v="5"/>
    <x v="0"/>
  </r>
  <r>
    <n v="2018"/>
    <x v="27"/>
    <x v="0"/>
    <x v="20"/>
    <x v="0"/>
    <n v="32"/>
    <s v="Massachusetts"/>
    <x v="1"/>
    <x v="14"/>
    <x v="0"/>
    <x v="7"/>
    <x v="1"/>
    <x v="2"/>
    <x v="1"/>
    <x v="1"/>
    <n v="42"/>
    <x v="4"/>
    <x v="6"/>
  </r>
  <r>
    <n v="2019"/>
    <x v="52"/>
    <x v="0"/>
    <x v="21"/>
    <x v="3"/>
    <n v="97"/>
    <s v="Arkansas"/>
    <x v="1"/>
    <x v="9"/>
    <x v="3"/>
    <x v="9"/>
    <x v="1"/>
    <x v="5"/>
    <x v="1"/>
    <x v="1"/>
    <n v="20"/>
    <x v="4"/>
    <x v="1"/>
  </r>
  <r>
    <n v="2020"/>
    <x v="18"/>
    <x v="0"/>
    <x v="5"/>
    <x v="0"/>
    <n v="68"/>
    <s v="Idaho"/>
    <x v="1"/>
    <x v="16"/>
    <x v="0"/>
    <x v="10"/>
    <x v="1"/>
    <x v="5"/>
    <x v="1"/>
    <x v="1"/>
    <n v="23"/>
    <x v="1"/>
    <x v="0"/>
  </r>
  <r>
    <n v="2021"/>
    <x v="38"/>
    <x v="0"/>
    <x v="1"/>
    <x v="0"/>
    <n v="23"/>
    <s v="Pennsylvania"/>
    <x v="2"/>
    <x v="19"/>
    <x v="0"/>
    <x v="6"/>
    <x v="1"/>
    <x v="2"/>
    <x v="1"/>
    <x v="1"/>
    <n v="26"/>
    <x v="1"/>
    <x v="3"/>
  </r>
  <r>
    <n v="2022"/>
    <x v="46"/>
    <x v="0"/>
    <x v="8"/>
    <x v="3"/>
    <n v="33"/>
    <s v="Maine"/>
    <x v="2"/>
    <x v="14"/>
    <x v="0"/>
    <x v="14"/>
    <x v="1"/>
    <x v="3"/>
    <x v="1"/>
    <x v="1"/>
    <n v="48"/>
    <x v="0"/>
    <x v="3"/>
  </r>
  <r>
    <n v="2023"/>
    <x v="35"/>
    <x v="0"/>
    <x v="16"/>
    <x v="3"/>
    <n v="38"/>
    <s v="Alabama"/>
    <x v="1"/>
    <x v="13"/>
    <x v="0"/>
    <x v="17"/>
    <x v="1"/>
    <x v="5"/>
    <x v="1"/>
    <x v="1"/>
    <n v="16"/>
    <x v="1"/>
    <x v="4"/>
  </r>
  <r>
    <n v="2024"/>
    <x v="5"/>
    <x v="0"/>
    <x v="20"/>
    <x v="0"/>
    <n v="68"/>
    <s v="Idaho"/>
    <x v="1"/>
    <x v="11"/>
    <x v="0"/>
    <x v="7"/>
    <x v="1"/>
    <x v="5"/>
    <x v="1"/>
    <x v="1"/>
    <n v="28"/>
    <x v="1"/>
    <x v="4"/>
  </r>
  <r>
    <n v="2025"/>
    <x v="46"/>
    <x v="0"/>
    <x v="20"/>
    <x v="0"/>
    <n v="23"/>
    <s v="Arkansas"/>
    <x v="0"/>
    <x v="5"/>
    <x v="3"/>
    <x v="18"/>
    <x v="1"/>
    <x v="0"/>
    <x v="1"/>
    <x v="1"/>
    <n v="39"/>
    <x v="3"/>
    <x v="1"/>
  </r>
  <r>
    <n v="2026"/>
    <x v="32"/>
    <x v="0"/>
    <x v="5"/>
    <x v="0"/>
    <n v="29"/>
    <s v="Delaware"/>
    <x v="2"/>
    <x v="2"/>
    <x v="2"/>
    <x v="21"/>
    <x v="1"/>
    <x v="0"/>
    <x v="1"/>
    <x v="1"/>
    <n v="43"/>
    <x v="5"/>
    <x v="0"/>
  </r>
  <r>
    <n v="2027"/>
    <x v="43"/>
    <x v="0"/>
    <x v="18"/>
    <x v="3"/>
    <n v="35"/>
    <s v="Maine"/>
    <x v="2"/>
    <x v="20"/>
    <x v="0"/>
    <x v="15"/>
    <x v="1"/>
    <x v="0"/>
    <x v="1"/>
    <x v="1"/>
    <n v="45"/>
    <x v="4"/>
    <x v="6"/>
  </r>
  <r>
    <n v="2028"/>
    <x v="2"/>
    <x v="0"/>
    <x v="9"/>
    <x v="1"/>
    <n v="73"/>
    <s v="Nebraska"/>
    <x v="1"/>
    <x v="9"/>
    <x v="3"/>
    <x v="6"/>
    <x v="1"/>
    <x v="3"/>
    <x v="1"/>
    <x v="1"/>
    <n v="50"/>
    <x v="2"/>
    <x v="6"/>
  </r>
  <r>
    <n v="2029"/>
    <x v="26"/>
    <x v="0"/>
    <x v="9"/>
    <x v="1"/>
    <n v="84"/>
    <s v="Ohio"/>
    <x v="3"/>
    <x v="7"/>
    <x v="3"/>
    <x v="18"/>
    <x v="1"/>
    <x v="4"/>
    <x v="1"/>
    <x v="1"/>
    <n v="10"/>
    <x v="0"/>
    <x v="4"/>
  </r>
  <r>
    <n v="2030"/>
    <x v="15"/>
    <x v="0"/>
    <x v="18"/>
    <x v="3"/>
    <n v="23"/>
    <s v="Montana"/>
    <x v="2"/>
    <x v="6"/>
    <x v="1"/>
    <x v="12"/>
    <x v="1"/>
    <x v="2"/>
    <x v="1"/>
    <x v="1"/>
    <n v="40"/>
    <x v="3"/>
    <x v="3"/>
  </r>
  <r>
    <n v="2031"/>
    <x v="17"/>
    <x v="0"/>
    <x v="12"/>
    <x v="3"/>
    <n v="67"/>
    <s v="New Mexico"/>
    <x v="1"/>
    <x v="14"/>
    <x v="2"/>
    <x v="11"/>
    <x v="1"/>
    <x v="3"/>
    <x v="1"/>
    <x v="1"/>
    <n v="38"/>
    <x v="2"/>
    <x v="5"/>
  </r>
  <r>
    <n v="2032"/>
    <x v="3"/>
    <x v="0"/>
    <x v="20"/>
    <x v="0"/>
    <n v="51"/>
    <s v="North Carolina"/>
    <x v="0"/>
    <x v="4"/>
    <x v="1"/>
    <x v="17"/>
    <x v="1"/>
    <x v="3"/>
    <x v="1"/>
    <x v="1"/>
    <n v="2"/>
    <x v="2"/>
    <x v="5"/>
  </r>
  <r>
    <n v="2033"/>
    <x v="5"/>
    <x v="0"/>
    <x v="0"/>
    <x v="0"/>
    <n v="36"/>
    <s v="South Carolina"/>
    <x v="2"/>
    <x v="1"/>
    <x v="0"/>
    <x v="19"/>
    <x v="1"/>
    <x v="2"/>
    <x v="1"/>
    <x v="1"/>
    <n v="13"/>
    <x v="1"/>
    <x v="2"/>
  </r>
  <r>
    <n v="2034"/>
    <x v="9"/>
    <x v="0"/>
    <x v="2"/>
    <x v="0"/>
    <n v="55"/>
    <s v="Illinois"/>
    <x v="0"/>
    <x v="8"/>
    <x v="2"/>
    <x v="15"/>
    <x v="1"/>
    <x v="0"/>
    <x v="1"/>
    <x v="1"/>
    <n v="33"/>
    <x v="0"/>
    <x v="2"/>
  </r>
  <r>
    <n v="2035"/>
    <x v="12"/>
    <x v="0"/>
    <x v="6"/>
    <x v="0"/>
    <n v="30"/>
    <s v="Alabama"/>
    <x v="2"/>
    <x v="15"/>
    <x v="1"/>
    <x v="3"/>
    <x v="1"/>
    <x v="5"/>
    <x v="1"/>
    <x v="1"/>
    <n v="27"/>
    <x v="3"/>
    <x v="5"/>
  </r>
  <r>
    <n v="2036"/>
    <x v="10"/>
    <x v="0"/>
    <x v="17"/>
    <x v="0"/>
    <n v="70"/>
    <s v="Oklahoma"/>
    <x v="1"/>
    <x v="22"/>
    <x v="2"/>
    <x v="7"/>
    <x v="1"/>
    <x v="0"/>
    <x v="1"/>
    <x v="1"/>
    <n v="43"/>
    <x v="4"/>
    <x v="1"/>
  </r>
  <r>
    <n v="2037"/>
    <x v="43"/>
    <x v="0"/>
    <x v="0"/>
    <x v="0"/>
    <n v="63"/>
    <s v="Minnesota"/>
    <x v="1"/>
    <x v="12"/>
    <x v="0"/>
    <x v="0"/>
    <x v="1"/>
    <x v="2"/>
    <x v="1"/>
    <x v="1"/>
    <n v="46"/>
    <x v="1"/>
    <x v="1"/>
  </r>
  <r>
    <n v="2038"/>
    <x v="31"/>
    <x v="0"/>
    <x v="22"/>
    <x v="3"/>
    <n v="87"/>
    <s v="Illinois"/>
    <x v="1"/>
    <x v="14"/>
    <x v="2"/>
    <x v="24"/>
    <x v="1"/>
    <x v="0"/>
    <x v="1"/>
    <x v="1"/>
    <n v="7"/>
    <x v="0"/>
    <x v="4"/>
  </r>
  <r>
    <n v="2039"/>
    <x v="10"/>
    <x v="0"/>
    <x v="0"/>
    <x v="0"/>
    <n v="70"/>
    <s v="Arkansas"/>
    <x v="0"/>
    <x v="20"/>
    <x v="1"/>
    <x v="14"/>
    <x v="1"/>
    <x v="2"/>
    <x v="1"/>
    <x v="1"/>
    <n v="35"/>
    <x v="2"/>
    <x v="0"/>
  </r>
  <r>
    <n v="2040"/>
    <x v="25"/>
    <x v="0"/>
    <x v="17"/>
    <x v="0"/>
    <n v="51"/>
    <s v="Minnesota"/>
    <x v="2"/>
    <x v="8"/>
    <x v="1"/>
    <x v="0"/>
    <x v="1"/>
    <x v="2"/>
    <x v="1"/>
    <x v="1"/>
    <n v="31"/>
    <x v="5"/>
    <x v="4"/>
  </r>
  <r>
    <n v="2041"/>
    <x v="28"/>
    <x v="0"/>
    <x v="16"/>
    <x v="3"/>
    <n v="25"/>
    <s v="South Carolina"/>
    <x v="3"/>
    <x v="0"/>
    <x v="1"/>
    <x v="3"/>
    <x v="1"/>
    <x v="1"/>
    <x v="1"/>
    <x v="1"/>
    <n v="42"/>
    <x v="0"/>
    <x v="3"/>
  </r>
  <r>
    <n v="2042"/>
    <x v="17"/>
    <x v="0"/>
    <x v="14"/>
    <x v="2"/>
    <n v="32"/>
    <s v="New York"/>
    <x v="1"/>
    <x v="12"/>
    <x v="0"/>
    <x v="4"/>
    <x v="1"/>
    <x v="2"/>
    <x v="1"/>
    <x v="1"/>
    <n v="14"/>
    <x v="3"/>
    <x v="4"/>
  </r>
  <r>
    <n v="2043"/>
    <x v="1"/>
    <x v="0"/>
    <x v="9"/>
    <x v="1"/>
    <n v="52"/>
    <s v="Alabama"/>
    <x v="2"/>
    <x v="16"/>
    <x v="1"/>
    <x v="17"/>
    <x v="1"/>
    <x v="4"/>
    <x v="1"/>
    <x v="1"/>
    <n v="35"/>
    <x v="0"/>
    <x v="5"/>
  </r>
  <r>
    <n v="2044"/>
    <x v="36"/>
    <x v="0"/>
    <x v="24"/>
    <x v="3"/>
    <n v="33"/>
    <s v="New York"/>
    <x v="2"/>
    <x v="4"/>
    <x v="2"/>
    <x v="2"/>
    <x v="1"/>
    <x v="3"/>
    <x v="1"/>
    <x v="1"/>
    <n v="49"/>
    <x v="3"/>
    <x v="1"/>
  </r>
  <r>
    <n v="2045"/>
    <x v="34"/>
    <x v="0"/>
    <x v="2"/>
    <x v="0"/>
    <n v="68"/>
    <s v="Missouri"/>
    <x v="0"/>
    <x v="20"/>
    <x v="1"/>
    <x v="21"/>
    <x v="1"/>
    <x v="1"/>
    <x v="1"/>
    <x v="1"/>
    <n v="17"/>
    <x v="3"/>
    <x v="0"/>
  </r>
  <r>
    <n v="2046"/>
    <x v="18"/>
    <x v="0"/>
    <x v="16"/>
    <x v="3"/>
    <n v="20"/>
    <s v="Georgia"/>
    <x v="2"/>
    <x v="16"/>
    <x v="3"/>
    <x v="14"/>
    <x v="1"/>
    <x v="0"/>
    <x v="1"/>
    <x v="1"/>
    <n v="26"/>
    <x v="3"/>
    <x v="3"/>
  </r>
  <r>
    <n v="2047"/>
    <x v="31"/>
    <x v="0"/>
    <x v="13"/>
    <x v="0"/>
    <n v="32"/>
    <s v="Oklahoma"/>
    <x v="2"/>
    <x v="1"/>
    <x v="0"/>
    <x v="11"/>
    <x v="1"/>
    <x v="1"/>
    <x v="1"/>
    <x v="1"/>
    <n v="30"/>
    <x v="1"/>
    <x v="6"/>
  </r>
  <r>
    <n v="2048"/>
    <x v="44"/>
    <x v="0"/>
    <x v="16"/>
    <x v="3"/>
    <n v="82"/>
    <s v="Connecticut"/>
    <x v="2"/>
    <x v="5"/>
    <x v="2"/>
    <x v="0"/>
    <x v="1"/>
    <x v="5"/>
    <x v="1"/>
    <x v="1"/>
    <n v="32"/>
    <x v="1"/>
    <x v="2"/>
  </r>
  <r>
    <n v="2049"/>
    <x v="4"/>
    <x v="0"/>
    <x v="4"/>
    <x v="1"/>
    <n v="64"/>
    <s v="Michigan"/>
    <x v="3"/>
    <x v="6"/>
    <x v="0"/>
    <x v="20"/>
    <x v="1"/>
    <x v="0"/>
    <x v="1"/>
    <x v="1"/>
    <n v="35"/>
    <x v="4"/>
    <x v="3"/>
  </r>
  <r>
    <n v="2050"/>
    <x v="33"/>
    <x v="0"/>
    <x v="23"/>
    <x v="1"/>
    <n v="24"/>
    <s v="Rhode Island"/>
    <x v="0"/>
    <x v="24"/>
    <x v="3"/>
    <x v="2"/>
    <x v="1"/>
    <x v="3"/>
    <x v="1"/>
    <x v="1"/>
    <n v="15"/>
    <x v="0"/>
    <x v="2"/>
  </r>
  <r>
    <n v="2051"/>
    <x v="25"/>
    <x v="0"/>
    <x v="19"/>
    <x v="3"/>
    <n v="96"/>
    <s v="Mississippi"/>
    <x v="2"/>
    <x v="11"/>
    <x v="2"/>
    <x v="23"/>
    <x v="1"/>
    <x v="5"/>
    <x v="1"/>
    <x v="1"/>
    <n v="10"/>
    <x v="5"/>
    <x v="2"/>
  </r>
  <r>
    <n v="2052"/>
    <x v="13"/>
    <x v="0"/>
    <x v="17"/>
    <x v="0"/>
    <n v="94"/>
    <s v="Massachusetts"/>
    <x v="0"/>
    <x v="13"/>
    <x v="1"/>
    <x v="22"/>
    <x v="1"/>
    <x v="1"/>
    <x v="1"/>
    <x v="1"/>
    <n v="14"/>
    <x v="2"/>
    <x v="5"/>
  </r>
  <r>
    <n v="2053"/>
    <x v="4"/>
    <x v="0"/>
    <x v="21"/>
    <x v="3"/>
    <n v="48"/>
    <s v="New Hampshire"/>
    <x v="2"/>
    <x v="0"/>
    <x v="0"/>
    <x v="18"/>
    <x v="1"/>
    <x v="4"/>
    <x v="1"/>
    <x v="1"/>
    <n v="30"/>
    <x v="4"/>
    <x v="2"/>
  </r>
  <r>
    <n v="2054"/>
    <x v="1"/>
    <x v="0"/>
    <x v="12"/>
    <x v="3"/>
    <n v="60"/>
    <s v="Wyoming"/>
    <x v="1"/>
    <x v="7"/>
    <x v="1"/>
    <x v="9"/>
    <x v="1"/>
    <x v="4"/>
    <x v="1"/>
    <x v="1"/>
    <n v="16"/>
    <x v="2"/>
    <x v="0"/>
  </r>
  <r>
    <n v="2055"/>
    <x v="13"/>
    <x v="0"/>
    <x v="1"/>
    <x v="0"/>
    <n v="56"/>
    <s v="New Jersey"/>
    <x v="3"/>
    <x v="9"/>
    <x v="1"/>
    <x v="3"/>
    <x v="1"/>
    <x v="0"/>
    <x v="1"/>
    <x v="1"/>
    <n v="14"/>
    <x v="3"/>
    <x v="2"/>
  </r>
  <r>
    <n v="2056"/>
    <x v="48"/>
    <x v="0"/>
    <x v="8"/>
    <x v="3"/>
    <n v="33"/>
    <s v="Texas"/>
    <x v="2"/>
    <x v="5"/>
    <x v="3"/>
    <x v="23"/>
    <x v="1"/>
    <x v="4"/>
    <x v="1"/>
    <x v="1"/>
    <n v="28"/>
    <x v="4"/>
    <x v="1"/>
  </r>
  <r>
    <n v="2057"/>
    <x v="0"/>
    <x v="0"/>
    <x v="21"/>
    <x v="3"/>
    <n v="46"/>
    <s v="Minnesota"/>
    <x v="0"/>
    <x v="24"/>
    <x v="1"/>
    <x v="14"/>
    <x v="1"/>
    <x v="4"/>
    <x v="1"/>
    <x v="1"/>
    <n v="29"/>
    <x v="3"/>
    <x v="5"/>
  </r>
  <r>
    <n v="2058"/>
    <x v="17"/>
    <x v="0"/>
    <x v="20"/>
    <x v="0"/>
    <n v="37"/>
    <s v="South Dakota"/>
    <x v="0"/>
    <x v="22"/>
    <x v="1"/>
    <x v="19"/>
    <x v="1"/>
    <x v="3"/>
    <x v="1"/>
    <x v="1"/>
    <n v="5"/>
    <x v="3"/>
    <x v="6"/>
  </r>
  <r>
    <n v="2059"/>
    <x v="26"/>
    <x v="0"/>
    <x v="5"/>
    <x v="0"/>
    <n v="98"/>
    <s v="Washington"/>
    <x v="2"/>
    <x v="18"/>
    <x v="0"/>
    <x v="13"/>
    <x v="1"/>
    <x v="5"/>
    <x v="1"/>
    <x v="1"/>
    <n v="17"/>
    <x v="4"/>
    <x v="3"/>
  </r>
  <r>
    <n v="2060"/>
    <x v="19"/>
    <x v="0"/>
    <x v="6"/>
    <x v="0"/>
    <n v="50"/>
    <s v="California"/>
    <x v="3"/>
    <x v="19"/>
    <x v="1"/>
    <x v="18"/>
    <x v="1"/>
    <x v="0"/>
    <x v="1"/>
    <x v="1"/>
    <n v="50"/>
    <x v="3"/>
    <x v="1"/>
  </r>
  <r>
    <n v="2061"/>
    <x v="3"/>
    <x v="0"/>
    <x v="22"/>
    <x v="3"/>
    <n v="63"/>
    <s v="Wisconsin"/>
    <x v="2"/>
    <x v="24"/>
    <x v="3"/>
    <x v="4"/>
    <x v="1"/>
    <x v="2"/>
    <x v="1"/>
    <x v="1"/>
    <n v="23"/>
    <x v="4"/>
    <x v="3"/>
  </r>
  <r>
    <n v="2062"/>
    <x v="45"/>
    <x v="0"/>
    <x v="1"/>
    <x v="0"/>
    <n v="70"/>
    <s v="Michigan"/>
    <x v="1"/>
    <x v="23"/>
    <x v="2"/>
    <x v="5"/>
    <x v="1"/>
    <x v="5"/>
    <x v="1"/>
    <x v="1"/>
    <n v="22"/>
    <x v="5"/>
    <x v="2"/>
  </r>
  <r>
    <n v="2063"/>
    <x v="22"/>
    <x v="0"/>
    <x v="7"/>
    <x v="2"/>
    <n v="63"/>
    <s v="South Carolina"/>
    <x v="0"/>
    <x v="5"/>
    <x v="3"/>
    <x v="11"/>
    <x v="1"/>
    <x v="3"/>
    <x v="1"/>
    <x v="1"/>
    <n v="15"/>
    <x v="1"/>
    <x v="3"/>
  </r>
  <r>
    <n v="2064"/>
    <x v="12"/>
    <x v="0"/>
    <x v="6"/>
    <x v="0"/>
    <n v="86"/>
    <s v="Indiana"/>
    <x v="2"/>
    <x v="17"/>
    <x v="3"/>
    <x v="3"/>
    <x v="1"/>
    <x v="3"/>
    <x v="1"/>
    <x v="1"/>
    <n v="32"/>
    <x v="1"/>
    <x v="5"/>
  </r>
  <r>
    <n v="2065"/>
    <x v="18"/>
    <x v="0"/>
    <x v="9"/>
    <x v="1"/>
    <n v="99"/>
    <s v="Arkansas"/>
    <x v="2"/>
    <x v="14"/>
    <x v="2"/>
    <x v="17"/>
    <x v="1"/>
    <x v="4"/>
    <x v="1"/>
    <x v="1"/>
    <n v="5"/>
    <x v="4"/>
    <x v="5"/>
  </r>
  <r>
    <n v="2066"/>
    <x v="7"/>
    <x v="0"/>
    <x v="4"/>
    <x v="1"/>
    <n v="40"/>
    <s v="Oregon"/>
    <x v="2"/>
    <x v="24"/>
    <x v="1"/>
    <x v="3"/>
    <x v="1"/>
    <x v="1"/>
    <x v="1"/>
    <x v="1"/>
    <n v="6"/>
    <x v="4"/>
    <x v="4"/>
  </r>
  <r>
    <n v="2067"/>
    <x v="14"/>
    <x v="0"/>
    <x v="4"/>
    <x v="1"/>
    <n v="92"/>
    <s v="Illinois"/>
    <x v="2"/>
    <x v="8"/>
    <x v="3"/>
    <x v="10"/>
    <x v="1"/>
    <x v="5"/>
    <x v="1"/>
    <x v="1"/>
    <n v="44"/>
    <x v="5"/>
    <x v="0"/>
  </r>
  <r>
    <n v="2068"/>
    <x v="52"/>
    <x v="0"/>
    <x v="13"/>
    <x v="0"/>
    <n v="21"/>
    <s v="Maryland"/>
    <x v="3"/>
    <x v="19"/>
    <x v="3"/>
    <x v="0"/>
    <x v="1"/>
    <x v="4"/>
    <x v="1"/>
    <x v="1"/>
    <n v="23"/>
    <x v="1"/>
    <x v="0"/>
  </r>
  <r>
    <n v="2069"/>
    <x v="27"/>
    <x v="0"/>
    <x v="16"/>
    <x v="3"/>
    <n v="81"/>
    <s v="Vermont"/>
    <x v="3"/>
    <x v="13"/>
    <x v="2"/>
    <x v="20"/>
    <x v="1"/>
    <x v="5"/>
    <x v="1"/>
    <x v="1"/>
    <n v="44"/>
    <x v="0"/>
    <x v="5"/>
  </r>
  <r>
    <n v="2070"/>
    <x v="24"/>
    <x v="0"/>
    <x v="17"/>
    <x v="0"/>
    <n v="82"/>
    <s v="Texas"/>
    <x v="2"/>
    <x v="21"/>
    <x v="3"/>
    <x v="23"/>
    <x v="1"/>
    <x v="1"/>
    <x v="1"/>
    <x v="1"/>
    <n v="3"/>
    <x v="5"/>
    <x v="3"/>
  </r>
  <r>
    <n v="2071"/>
    <x v="19"/>
    <x v="0"/>
    <x v="16"/>
    <x v="3"/>
    <n v="88"/>
    <s v="Nebraska"/>
    <x v="3"/>
    <x v="16"/>
    <x v="1"/>
    <x v="0"/>
    <x v="1"/>
    <x v="0"/>
    <x v="1"/>
    <x v="1"/>
    <n v="14"/>
    <x v="1"/>
    <x v="5"/>
  </r>
  <r>
    <n v="2072"/>
    <x v="28"/>
    <x v="0"/>
    <x v="14"/>
    <x v="2"/>
    <n v="100"/>
    <s v="South Carolina"/>
    <x v="1"/>
    <x v="22"/>
    <x v="3"/>
    <x v="6"/>
    <x v="1"/>
    <x v="5"/>
    <x v="1"/>
    <x v="1"/>
    <n v="37"/>
    <x v="3"/>
    <x v="3"/>
  </r>
  <r>
    <n v="2073"/>
    <x v="31"/>
    <x v="0"/>
    <x v="21"/>
    <x v="3"/>
    <n v="66"/>
    <s v="Massachusetts"/>
    <x v="2"/>
    <x v="19"/>
    <x v="0"/>
    <x v="20"/>
    <x v="1"/>
    <x v="2"/>
    <x v="1"/>
    <x v="1"/>
    <n v="22"/>
    <x v="4"/>
    <x v="1"/>
  </r>
  <r>
    <n v="2074"/>
    <x v="21"/>
    <x v="0"/>
    <x v="22"/>
    <x v="3"/>
    <n v="25"/>
    <s v="Texas"/>
    <x v="1"/>
    <x v="14"/>
    <x v="0"/>
    <x v="1"/>
    <x v="1"/>
    <x v="2"/>
    <x v="1"/>
    <x v="1"/>
    <n v="2"/>
    <x v="3"/>
    <x v="6"/>
  </r>
  <r>
    <n v="2075"/>
    <x v="24"/>
    <x v="0"/>
    <x v="18"/>
    <x v="3"/>
    <n v="53"/>
    <s v="Florida"/>
    <x v="2"/>
    <x v="3"/>
    <x v="2"/>
    <x v="0"/>
    <x v="1"/>
    <x v="1"/>
    <x v="1"/>
    <x v="1"/>
    <n v="44"/>
    <x v="5"/>
    <x v="0"/>
  </r>
  <r>
    <n v="2076"/>
    <x v="5"/>
    <x v="0"/>
    <x v="1"/>
    <x v="0"/>
    <n v="28"/>
    <s v="South Carolina"/>
    <x v="1"/>
    <x v="2"/>
    <x v="3"/>
    <x v="10"/>
    <x v="1"/>
    <x v="0"/>
    <x v="1"/>
    <x v="1"/>
    <n v="49"/>
    <x v="5"/>
    <x v="5"/>
  </r>
  <r>
    <n v="2077"/>
    <x v="35"/>
    <x v="0"/>
    <x v="24"/>
    <x v="3"/>
    <n v="23"/>
    <s v="Florida"/>
    <x v="1"/>
    <x v="21"/>
    <x v="3"/>
    <x v="12"/>
    <x v="1"/>
    <x v="1"/>
    <x v="1"/>
    <x v="1"/>
    <n v="22"/>
    <x v="5"/>
    <x v="4"/>
  </r>
  <r>
    <n v="2078"/>
    <x v="14"/>
    <x v="0"/>
    <x v="18"/>
    <x v="3"/>
    <n v="34"/>
    <s v="Nebraska"/>
    <x v="0"/>
    <x v="20"/>
    <x v="3"/>
    <x v="13"/>
    <x v="1"/>
    <x v="1"/>
    <x v="1"/>
    <x v="1"/>
    <n v="26"/>
    <x v="4"/>
    <x v="2"/>
  </r>
  <r>
    <n v="2079"/>
    <x v="34"/>
    <x v="0"/>
    <x v="10"/>
    <x v="0"/>
    <n v="42"/>
    <s v="Hawaii"/>
    <x v="2"/>
    <x v="24"/>
    <x v="1"/>
    <x v="4"/>
    <x v="1"/>
    <x v="2"/>
    <x v="1"/>
    <x v="1"/>
    <n v="40"/>
    <x v="5"/>
    <x v="1"/>
  </r>
  <r>
    <n v="2080"/>
    <x v="45"/>
    <x v="0"/>
    <x v="2"/>
    <x v="0"/>
    <n v="24"/>
    <s v="Montana"/>
    <x v="0"/>
    <x v="10"/>
    <x v="2"/>
    <x v="0"/>
    <x v="1"/>
    <x v="2"/>
    <x v="1"/>
    <x v="1"/>
    <n v="16"/>
    <x v="3"/>
    <x v="3"/>
  </r>
  <r>
    <n v="2081"/>
    <x v="26"/>
    <x v="0"/>
    <x v="12"/>
    <x v="3"/>
    <n v="47"/>
    <s v="South Dakota"/>
    <x v="1"/>
    <x v="0"/>
    <x v="3"/>
    <x v="1"/>
    <x v="1"/>
    <x v="1"/>
    <x v="1"/>
    <x v="1"/>
    <n v="17"/>
    <x v="5"/>
    <x v="4"/>
  </r>
  <r>
    <n v="2082"/>
    <x v="41"/>
    <x v="0"/>
    <x v="7"/>
    <x v="2"/>
    <n v="78"/>
    <s v="Alabama"/>
    <x v="1"/>
    <x v="17"/>
    <x v="1"/>
    <x v="24"/>
    <x v="1"/>
    <x v="3"/>
    <x v="1"/>
    <x v="1"/>
    <n v="48"/>
    <x v="4"/>
    <x v="4"/>
  </r>
  <r>
    <n v="2083"/>
    <x v="38"/>
    <x v="0"/>
    <x v="2"/>
    <x v="0"/>
    <n v="89"/>
    <s v="Arkansas"/>
    <x v="2"/>
    <x v="22"/>
    <x v="2"/>
    <x v="3"/>
    <x v="1"/>
    <x v="1"/>
    <x v="1"/>
    <x v="1"/>
    <n v="28"/>
    <x v="0"/>
    <x v="6"/>
  </r>
  <r>
    <n v="2084"/>
    <x v="38"/>
    <x v="0"/>
    <x v="18"/>
    <x v="3"/>
    <n v="59"/>
    <s v="Mississippi"/>
    <x v="0"/>
    <x v="20"/>
    <x v="3"/>
    <x v="2"/>
    <x v="1"/>
    <x v="5"/>
    <x v="1"/>
    <x v="1"/>
    <n v="26"/>
    <x v="2"/>
    <x v="0"/>
  </r>
  <r>
    <n v="2085"/>
    <x v="45"/>
    <x v="0"/>
    <x v="0"/>
    <x v="0"/>
    <n v="94"/>
    <s v="Vermont"/>
    <x v="1"/>
    <x v="18"/>
    <x v="2"/>
    <x v="17"/>
    <x v="1"/>
    <x v="3"/>
    <x v="1"/>
    <x v="1"/>
    <n v="43"/>
    <x v="4"/>
    <x v="3"/>
  </r>
  <r>
    <n v="2086"/>
    <x v="28"/>
    <x v="0"/>
    <x v="2"/>
    <x v="0"/>
    <n v="49"/>
    <s v="New York"/>
    <x v="2"/>
    <x v="11"/>
    <x v="3"/>
    <x v="12"/>
    <x v="1"/>
    <x v="1"/>
    <x v="1"/>
    <x v="1"/>
    <n v="38"/>
    <x v="5"/>
    <x v="1"/>
  </r>
  <r>
    <n v="2087"/>
    <x v="13"/>
    <x v="0"/>
    <x v="10"/>
    <x v="0"/>
    <n v="89"/>
    <s v="North Dakota"/>
    <x v="0"/>
    <x v="19"/>
    <x v="2"/>
    <x v="10"/>
    <x v="1"/>
    <x v="4"/>
    <x v="1"/>
    <x v="1"/>
    <n v="36"/>
    <x v="1"/>
    <x v="6"/>
  </r>
  <r>
    <n v="2088"/>
    <x v="22"/>
    <x v="0"/>
    <x v="19"/>
    <x v="3"/>
    <n v="91"/>
    <s v="Wisconsin"/>
    <x v="2"/>
    <x v="24"/>
    <x v="2"/>
    <x v="10"/>
    <x v="1"/>
    <x v="3"/>
    <x v="1"/>
    <x v="1"/>
    <n v="1"/>
    <x v="2"/>
    <x v="1"/>
  </r>
  <r>
    <n v="2089"/>
    <x v="31"/>
    <x v="0"/>
    <x v="3"/>
    <x v="1"/>
    <n v="89"/>
    <s v="California"/>
    <x v="0"/>
    <x v="20"/>
    <x v="1"/>
    <x v="17"/>
    <x v="1"/>
    <x v="3"/>
    <x v="1"/>
    <x v="1"/>
    <n v="49"/>
    <x v="5"/>
    <x v="2"/>
  </r>
  <r>
    <n v="2090"/>
    <x v="43"/>
    <x v="0"/>
    <x v="14"/>
    <x v="2"/>
    <n v="57"/>
    <s v="Maryland"/>
    <x v="0"/>
    <x v="9"/>
    <x v="1"/>
    <x v="15"/>
    <x v="1"/>
    <x v="1"/>
    <x v="1"/>
    <x v="1"/>
    <n v="41"/>
    <x v="2"/>
    <x v="6"/>
  </r>
  <r>
    <n v="2091"/>
    <x v="47"/>
    <x v="0"/>
    <x v="20"/>
    <x v="0"/>
    <n v="71"/>
    <s v="Massachusetts"/>
    <x v="1"/>
    <x v="11"/>
    <x v="0"/>
    <x v="23"/>
    <x v="1"/>
    <x v="1"/>
    <x v="1"/>
    <x v="1"/>
    <n v="21"/>
    <x v="5"/>
    <x v="5"/>
  </r>
  <r>
    <n v="2092"/>
    <x v="8"/>
    <x v="0"/>
    <x v="2"/>
    <x v="0"/>
    <n v="97"/>
    <s v="Washington"/>
    <x v="3"/>
    <x v="19"/>
    <x v="3"/>
    <x v="21"/>
    <x v="1"/>
    <x v="2"/>
    <x v="1"/>
    <x v="1"/>
    <n v="24"/>
    <x v="4"/>
    <x v="3"/>
  </r>
  <r>
    <n v="2093"/>
    <x v="32"/>
    <x v="0"/>
    <x v="3"/>
    <x v="1"/>
    <n v="45"/>
    <s v="Minnesota"/>
    <x v="2"/>
    <x v="5"/>
    <x v="3"/>
    <x v="5"/>
    <x v="1"/>
    <x v="2"/>
    <x v="1"/>
    <x v="1"/>
    <n v="27"/>
    <x v="4"/>
    <x v="1"/>
  </r>
  <r>
    <n v="2094"/>
    <x v="3"/>
    <x v="0"/>
    <x v="10"/>
    <x v="0"/>
    <n v="91"/>
    <s v="Washington"/>
    <x v="2"/>
    <x v="1"/>
    <x v="1"/>
    <x v="19"/>
    <x v="1"/>
    <x v="5"/>
    <x v="1"/>
    <x v="1"/>
    <n v="4"/>
    <x v="5"/>
    <x v="2"/>
  </r>
  <r>
    <n v="2095"/>
    <x v="10"/>
    <x v="0"/>
    <x v="20"/>
    <x v="0"/>
    <n v="25"/>
    <s v="South Carolina"/>
    <x v="2"/>
    <x v="21"/>
    <x v="1"/>
    <x v="23"/>
    <x v="1"/>
    <x v="3"/>
    <x v="1"/>
    <x v="1"/>
    <n v="19"/>
    <x v="0"/>
    <x v="2"/>
  </r>
  <r>
    <n v="2096"/>
    <x v="24"/>
    <x v="0"/>
    <x v="15"/>
    <x v="0"/>
    <n v="63"/>
    <s v="New Mexico"/>
    <x v="2"/>
    <x v="0"/>
    <x v="3"/>
    <x v="17"/>
    <x v="1"/>
    <x v="5"/>
    <x v="1"/>
    <x v="1"/>
    <n v="1"/>
    <x v="4"/>
    <x v="0"/>
  </r>
  <r>
    <n v="2097"/>
    <x v="3"/>
    <x v="0"/>
    <x v="10"/>
    <x v="0"/>
    <n v="52"/>
    <s v="North Carolina"/>
    <x v="0"/>
    <x v="24"/>
    <x v="2"/>
    <x v="10"/>
    <x v="1"/>
    <x v="1"/>
    <x v="1"/>
    <x v="1"/>
    <n v="27"/>
    <x v="5"/>
    <x v="2"/>
  </r>
  <r>
    <n v="2098"/>
    <x v="23"/>
    <x v="0"/>
    <x v="4"/>
    <x v="1"/>
    <n v="43"/>
    <s v="Iowa"/>
    <x v="1"/>
    <x v="17"/>
    <x v="0"/>
    <x v="20"/>
    <x v="1"/>
    <x v="2"/>
    <x v="1"/>
    <x v="1"/>
    <n v="5"/>
    <x v="2"/>
    <x v="1"/>
  </r>
  <r>
    <n v="2099"/>
    <x v="34"/>
    <x v="0"/>
    <x v="17"/>
    <x v="0"/>
    <n v="28"/>
    <s v="Louisiana"/>
    <x v="2"/>
    <x v="3"/>
    <x v="2"/>
    <x v="13"/>
    <x v="1"/>
    <x v="4"/>
    <x v="1"/>
    <x v="1"/>
    <n v="20"/>
    <x v="0"/>
    <x v="3"/>
  </r>
  <r>
    <n v="2100"/>
    <x v="18"/>
    <x v="0"/>
    <x v="17"/>
    <x v="0"/>
    <n v="78"/>
    <s v="Oklahoma"/>
    <x v="0"/>
    <x v="14"/>
    <x v="2"/>
    <x v="3"/>
    <x v="1"/>
    <x v="0"/>
    <x v="1"/>
    <x v="1"/>
    <n v="50"/>
    <x v="3"/>
    <x v="2"/>
  </r>
  <r>
    <n v="2101"/>
    <x v="33"/>
    <x v="0"/>
    <x v="1"/>
    <x v="0"/>
    <n v="31"/>
    <s v="Michigan"/>
    <x v="2"/>
    <x v="5"/>
    <x v="1"/>
    <x v="14"/>
    <x v="1"/>
    <x v="1"/>
    <x v="1"/>
    <x v="1"/>
    <n v="36"/>
    <x v="1"/>
    <x v="0"/>
  </r>
  <r>
    <n v="2102"/>
    <x v="34"/>
    <x v="0"/>
    <x v="5"/>
    <x v="0"/>
    <n v="23"/>
    <s v="Oregon"/>
    <x v="2"/>
    <x v="24"/>
    <x v="0"/>
    <x v="15"/>
    <x v="1"/>
    <x v="2"/>
    <x v="1"/>
    <x v="1"/>
    <n v="12"/>
    <x v="4"/>
    <x v="4"/>
  </r>
  <r>
    <n v="2103"/>
    <x v="51"/>
    <x v="0"/>
    <x v="19"/>
    <x v="3"/>
    <n v="25"/>
    <s v="Idaho"/>
    <x v="2"/>
    <x v="18"/>
    <x v="1"/>
    <x v="9"/>
    <x v="1"/>
    <x v="5"/>
    <x v="1"/>
    <x v="1"/>
    <n v="23"/>
    <x v="1"/>
    <x v="5"/>
  </r>
  <r>
    <n v="2104"/>
    <x v="11"/>
    <x v="0"/>
    <x v="13"/>
    <x v="0"/>
    <n v="86"/>
    <s v="Indiana"/>
    <x v="1"/>
    <x v="16"/>
    <x v="2"/>
    <x v="18"/>
    <x v="1"/>
    <x v="5"/>
    <x v="1"/>
    <x v="1"/>
    <n v="21"/>
    <x v="0"/>
    <x v="1"/>
  </r>
  <r>
    <n v="2105"/>
    <x v="10"/>
    <x v="0"/>
    <x v="9"/>
    <x v="1"/>
    <n v="88"/>
    <s v="New Mexico"/>
    <x v="2"/>
    <x v="9"/>
    <x v="1"/>
    <x v="11"/>
    <x v="1"/>
    <x v="1"/>
    <x v="1"/>
    <x v="1"/>
    <n v="47"/>
    <x v="0"/>
    <x v="1"/>
  </r>
  <r>
    <n v="2106"/>
    <x v="13"/>
    <x v="0"/>
    <x v="24"/>
    <x v="3"/>
    <n v="35"/>
    <s v="South Carolina"/>
    <x v="2"/>
    <x v="5"/>
    <x v="1"/>
    <x v="9"/>
    <x v="1"/>
    <x v="1"/>
    <x v="1"/>
    <x v="1"/>
    <n v="38"/>
    <x v="0"/>
    <x v="4"/>
  </r>
  <r>
    <n v="2107"/>
    <x v="52"/>
    <x v="0"/>
    <x v="16"/>
    <x v="3"/>
    <n v="34"/>
    <s v="Vermont"/>
    <x v="2"/>
    <x v="0"/>
    <x v="3"/>
    <x v="14"/>
    <x v="1"/>
    <x v="3"/>
    <x v="1"/>
    <x v="1"/>
    <n v="40"/>
    <x v="2"/>
    <x v="6"/>
  </r>
  <r>
    <n v="2108"/>
    <x v="5"/>
    <x v="0"/>
    <x v="13"/>
    <x v="0"/>
    <n v="75"/>
    <s v="Delaware"/>
    <x v="2"/>
    <x v="13"/>
    <x v="0"/>
    <x v="13"/>
    <x v="1"/>
    <x v="3"/>
    <x v="1"/>
    <x v="1"/>
    <n v="35"/>
    <x v="3"/>
    <x v="3"/>
  </r>
  <r>
    <n v="2109"/>
    <x v="22"/>
    <x v="0"/>
    <x v="15"/>
    <x v="0"/>
    <n v="46"/>
    <s v="North Dakota"/>
    <x v="3"/>
    <x v="19"/>
    <x v="0"/>
    <x v="19"/>
    <x v="1"/>
    <x v="0"/>
    <x v="1"/>
    <x v="1"/>
    <n v="4"/>
    <x v="2"/>
    <x v="3"/>
  </r>
  <r>
    <n v="2110"/>
    <x v="35"/>
    <x v="0"/>
    <x v="16"/>
    <x v="3"/>
    <n v="31"/>
    <s v="California"/>
    <x v="0"/>
    <x v="15"/>
    <x v="3"/>
    <x v="2"/>
    <x v="1"/>
    <x v="1"/>
    <x v="1"/>
    <x v="1"/>
    <n v="28"/>
    <x v="0"/>
    <x v="6"/>
  </r>
  <r>
    <n v="2111"/>
    <x v="16"/>
    <x v="0"/>
    <x v="20"/>
    <x v="0"/>
    <n v="93"/>
    <s v="Montana"/>
    <x v="0"/>
    <x v="17"/>
    <x v="1"/>
    <x v="20"/>
    <x v="1"/>
    <x v="5"/>
    <x v="1"/>
    <x v="1"/>
    <n v="36"/>
    <x v="5"/>
    <x v="6"/>
  </r>
  <r>
    <n v="2112"/>
    <x v="38"/>
    <x v="0"/>
    <x v="12"/>
    <x v="3"/>
    <n v="85"/>
    <s v="Missouri"/>
    <x v="3"/>
    <x v="6"/>
    <x v="1"/>
    <x v="5"/>
    <x v="1"/>
    <x v="1"/>
    <x v="1"/>
    <x v="1"/>
    <n v="15"/>
    <x v="4"/>
    <x v="2"/>
  </r>
  <r>
    <n v="2113"/>
    <x v="49"/>
    <x v="0"/>
    <x v="22"/>
    <x v="3"/>
    <n v="68"/>
    <s v="Tennessee"/>
    <x v="2"/>
    <x v="12"/>
    <x v="3"/>
    <x v="9"/>
    <x v="1"/>
    <x v="4"/>
    <x v="1"/>
    <x v="1"/>
    <n v="7"/>
    <x v="1"/>
    <x v="0"/>
  </r>
  <r>
    <n v="2114"/>
    <x v="6"/>
    <x v="0"/>
    <x v="10"/>
    <x v="0"/>
    <n v="40"/>
    <s v="Virginia"/>
    <x v="2"/>
    <x v="18"/>
    <x v="1"/>
    <x v="2"/>
    <x v="1"/>
    <x v="5"/>
    <x v="1"/>
    <x v="1"/>
    <n v="29"/>
    <x v="3"/>
    <x v="6"/>
  </r>
  <r>
    <n v="2115"/>
    <x v="43"/>
    <x v="0"/>
    <x v="5"/>
    <x v="0"/>
    <n v="51"/>
    <s v="Vermont"/>
    <x v="2"/>
    <x v="23"/>
    <x v="0"/>
    <x v="3"/>
    <x v="1"/>
    <x v="3"/>
    <x v="1"/>
    <x v="1"/>
    <n v="12"/>
    <x v="5"/>
    <x v="2"/>
  </r>
  <r>
    <n v="2116"/>
    <x v="42"/>
    <x v="0"/>
    <x v="18"/>
    <x v="3"/>
    <n v="85"/>
    <s v="Rhode Island"/>
    <x v="2"/>
    <x v="10"/>
    <x v="0"/>
    <x v="23"/>
    <x v="1"/>
    <x v="5"/>
    <x v="1"/>
    <x v="1"/>
    <n v="16"/>
    <x v="4"/>
    <x v="4"/>
  </r>
  <r>
    <n v="2117"/>
    <x v="29"/>
    <x v="0"/>
    <x v="14"/>
    <x v="2"/>
    <n v="23"/>
    <s v="Kansas"/>
    <x v="2"/>
    <x v="11"/>
    <x v="2"/>
    <x v="3"/>
    <x v="1"/>
    <x v="0"/>
    <x v="1"/>
    <x v="1"/>
    <n v="50"/>
    <x v="5"/>
    <x v="4"/>
  </r>
  <r>
    <n v="2118"/>
    <x v="7"/>
    <x v="0"/>
    <x v="10"/>
    <x v="0"/>
    <n v="28"/>
    <s v="Colorado"/>
    <x v="0"/>
    <x v="18"/>
    <x v="2"/>
    <x v="22"/>
    <x v="1"/>
    <x v="1"/>
    <x v="1"/>
    <x v="1"/>
    <n v="11"/>
    <x v="5"/>
    <x v="2"/>
  </r>
  <r>
    <n v="2119"/>
    <x v="52"/>
    <x v="0"/>
    <x v="20"/>
    <x v="0"/>
    <n v="44"/>
    <s v="Georgia"/>
    <x v="2"/>
    <x v="8"/>
    <x v="3"/>
    <x v="19"/>
    <x v="1"/>
    <x v="4"/>
    <x v="1"/>
    <x v="1"/>
    <n v="28"/>
    <x v="5"/>
    <x v="3"/>
  </r>
  <r>
    <n v="2120"/>
    <x v="44"/>
    <x v="0"/>
    <x v="16"/>
    <x v="3"/>
    <n v="57"/>
    <s v="Nebraska"/>
    <x v="2"/>
    <x v="21"/>
    <x v="1"/>
    <x v="1"/>
    <x v="1"/>
    <x v="5"/>
    <x v="1"/>
    <x v="1"/>
    <n v="36"/>
    <x v="0"/>
    <x v="4"/>
  </r>
  <r>
    <n v="2121"/>
    <x v="10"/>
    <x v="0"/>
    <x v="18"/>
    <x v="3"/>
    <n v="98"/>
    <s v="Missouri"/>
    <x v="1"/>
    <x v="16"/>
    <x v="3"/>
    <x v="0"/>
    <x v="1"/>
    <x v="2"/>
    <x v="1"/>
    <x v="1"/>
    <n v="38"/>
    <x v="3"/>
    <x v="3"/>
  </r>
  <r>
    <n v="2122"/>
    <x v="49"/>
    <x v="0"/>
    <x v="21"/>
    <x v="3"/>
    <n v="68"/>
    <s v="Alaska"/>
    <x v="2"/>
    <x v="8"/>
    <x v="0"/>
    <x v="1"/>
    <x v="1"/>
    <x v="4"/>
    <x v="1"/>
    <x v="1"/>
    <n v="32"/>
    <x v="4"/>
    <x v="5"/>
  </r>
  <r>
    <n v="2123"/>
    <x v="45"/>
    <x v="0"/>
    <x v="14"/>
    <x v="2"/>
    <n v="36"/>
    <s v="Virginia"/>
    <x v="0"/>
    <x v="11"/>
    <x v="3"/>
    <x v="17"/>
    <x v="1"/>
    <x v="0"/>
    <x v="1"/>
    <x v="1"/>
    <n v="42"/>
    <x v="5"/>
    <x v="1"/>
  </r>
  <r>
    <n v="2124"/>
    <x v="22"/>
    <x v="0"/>
    <x v="7"/>
    <x v="2"/>
    <n v="71"/>
    <s v="Nebraska"/>
    <x v="0"/>
    <x v="17"/>
    <x v="1"/>
    <x v="18"/>
    <x v="1"/>
    <x v="0"/>
    <x v="1"/>
    <x v="1"/>
    <n v="22"/>
    <x v="5"/>
    <x v="4"/>
  </r>
  <r>
    <n v="2125"/>
    <x v="36"/>
    <x v="0"/>
    <x v="11"/>
    <x v="0"/>
    <n v="60"/>
    <s v="Rhode Island"/>
    <x v="2"/>
    <x v="11"/>
    <x v="3"/>
    <x v="19"/>
    <x v="1"/>
    <x v="2"/>
    <x v="1"/>
    <x v="1"/>
    <n v="22"/>
    <x v="0"/>
    <x v="3"/>
  </r>
  <r>
    <n v="2126"/>
    <x v="9"/>
    <x v="0"/>
    <x v="7"/>
    <x v="2"/>
    <n v="87"/>
    <s v="New Hampshire"/>
    <x v="2"/>
    <x v="19"/>
    <x v="3"/>
    <x v="6"/>
    <x v="1"/>
    <x v="5"/>
    <x v="1"/>
    <x v="1"/>
    <n v="31"/>
    <x v="3"/>
    <x v="3"/>
  </r>
  <r>
    <n v="2127"/>
    <x v="6"/>
    <x v="0"/>
    <x v="9"/>
    <x v="1"/>
    <n v="38"/>
    <s v="Alabama"/>
    <x v="3"/>
    <x v="23"/>
    <x v="0"/>
    <x v="7"/>
    <x v="1"/>
    <x v="0"/>
    <x v="1"/>
    <x v="1"/>
    <n v="28"/>
    <x v="2"/>
    <x v="5"/>
  </r>
  <r>
    <n v="2128"/>
    <x v="27"/>
    <x v="0"/>
    <x v="23"/>
    <x v="1"/>
    <n v="45"/>
    <s v="North Carolina"/>
    <x v="2"/>
    <x v="21"/>
    <x v="1"/>
    <x v="9"/>
    <x v="1"/>
    <x v="4"/>
    <x v="1"/>
    <x v="1"/>
    <n v="40"/>
    <x v="5"/>
    <x v="1"/>
  </r>
  <r>
    <n v="2129"/>
    <x v="46"/>
    <x v="0"/>
    <x v="7"/>
    <x v="2"/>
    <n v="47"/>
    <s v="New Mexico"/>
    <x v="0"/>
    <x v="17"/>
    <x v="3"/>
    <x v="2"/>
    <x v="1"/>
    <x v="4"/>
    <x v="1"/>
    <x v="1"/>
    <n v="21"/>
    <x v="3"/>
    <x v="1"/>
  </r>
  <r>
    <n v="2130"/>
    <x v="37"/>
    <x v="0"/>
    <x v="11"/>
    <x v="0"/>
    <n v="57"/>
    <s v="Minnesota"/>
    <x v="0"/>
    <x v="20"/>
    <x v="3"/>
    <x v="11"/>
    <x v="1"/>
    <x v="5"/>
    <x v="1"/>
    <x v="1"/>
    <n v="12"/>
    <x v="3"/>
    <x v="6"/>
  </r>
  <r>
    <n v="2131"/>
    <x v="15"/>
    <x v="0"/>
    <x v="21"/>
    <x v="3"/>
    <n v="68"/>
    <s v="Arizona"/>
    <x v="0"/>
    <x v="10"/>
    <x v="2"/>
    <x v="18"/>
    <x v="1"/>
    <x v="1"/>
    <x v="1"/>
    <x v="1"/>
    <n v="33"/>
    <x v="2"/>
    <x v="2"/>
  </r>
  <r>
    <n v="2132"/>
    <x v="1"/>
    <x v="0"/>
    <x v="6"/>
    <x v="0"/>
    <n v="52"/>
    <s v="Montana"/>
    <x v="2"/>
    <x v="16"/>
    <x v="3"/>
    <x v="15"/>
    <x v="1"/>
    <x v="0"/>
    <x v="1"/>
    <x v="1"/>
    <n v="9"/>
    <x v="4"/>
    <x v="0"/>
  </r>
  <r>
    <n v="2133"/>
    <x v="15"/>
    <x v="0"/>
    <x v="11"/>
    <x v="0"/>
    <n v="87"/>
    <s v="Vermont"/>
    <x v="2"/>
    <x v="23"/>
    <x v="3"/>
    <x v="10"/>
    <x v="1"/>
    <x v="4"/>
    <x v="1"/>
    <x v="1"/>
    <n v="15"/>
    <x v="5"/>
    <x v="1"/>
  </r>
  <r>
    <n v="2134"/>
    <x v="3"/>
    <x v="0"/>
    <x v="19"/>
    <x v="3"/>
    <n v="34"/>
    <s v="Maine"/>
    <x v="2"/>
    <x v="8"/>
    <x v="2"/>
    <x v="22"/>
    <x v="1"/>
    <x v="3"/>
    <x v="1"/>
    <x v="1"/>
    <n v="13"/>
    <x v="4"/>
    <x v="2"/>
  </r>
  <r>
    <n v="2135"/>
    <x v="0"/>
    <x v="0"/>
    <x v="3"/>
    <x v="1"/>
    <n v="41"/>
    <s v="Virginia"/>
    <x v="3"/>
    <x v="1"/>
    <x v="0"/>
    <x v="3"/>
    <x v="1"/>
    <x v="3"/>
    <x v="1"/>
    <x v="1"/>
    <n v="35"/>
    <x v="2"/>
    <x v="0"/>
  </r>
  <r>
    <n v="2136"/>
    <x v="50"/>
    <x v="0"/>
    <x v="12"/>
    <x v="3"/>
    <n v="94"/>
    <s v="California"/>
    <x v="1"/>
    <x v="22"/>
    <x v="0"/>
    <x v="12"/>
    <x v="1"/>
    <x v="2"/>
    <x v="1"/>
    <x v="1"/>
    <n v="1"/>
    <x v="5"/>
    <x v="6"/>
  </r>
  <r>
    <n v="2137"/>
    <x v="36"/>
    <x v="0"/>
    <x v="12"/>
    <x v="3"/>
    <n v="93"/>
    <s v="New York"/>
    <x v="2"/>
    <x v="16"/>
    <x v="2"/>
    <x v="11"/>
    <x v="1"/>
    <x v="3"/>
    <x v="1"/>
    <x v="1"/>
    <n v="25"/>
    <x v="4"/>
    <x v="0"/>
  </r>
  <r>
    <n v="2138"/>
    <x v="7"/>
    <x v="0"/>
    <x v="20"/>
    <x v="0"/>
    <n v="51"/>
    <s v="Indiana"/>
    <x v="3"/>
    <x v="7"/>
    <x v="0"/>
    <x v="12"/>
    <x v="1"/>
    <x v="4"/>
    <x v="1"/>
    <x v="1"/>
    <n v="20"/>
    <x v="2"/>
    <x v="6"/>
  </r>
  <r>
    <n v="2139"/>
    <x v="29"/>
    <x v="0"/>
    <x v="1"/>
    <x v="0"/>
    <n v="42"/>
    <s v="Mississippi"/>
    <x v="2"/>
    <x v="11"/>
    <x v="3"/>
    <x v="11"/>
    <x v="1"/>
    <x v="2"/>
    <x v="1"/>
    <x v="1"/>
    <n v="36"/>
    <x v="0"/>
    <x v="3"/>
  </r>
  <r>
    <n v="2140"/>
    <x v="37"/>
    <x v="0"/>
    <x v="23"/>
    <x v="1"/>
    <n v="95"/>
    <s v="New York"/>
    <x v="2"/>
    <x v="16"/>
    <x v="0"/>
    <x v="21"/>
    <x v="1"/>
    <x v="1"/>
    <x v="1"/>
    <x v="1"/>
    <n v="33"/>
    <x v="1"/>
    <x v="1"/>
  </r>
  <r>
    <n v="2141"/>
    <x v="10"/>
    <x v="0"/>
    <x v="8"/>
    <x v="3"/>
    <n v="90"/>
    <s v="New Mexico"/>
    <x v="2"/>
    <x v="18"/>
    <x v="3"/>
    <x v="18"/>
    <x v="1"/>
    <x v="3"/>
    <x v="1"/>
    <x v="1"/>
    <n v="36"/>
    <x v="1"/>
    <x v="0"/>
  </r>
  <r>
    <n v="2142"/>
    <x v="41"/>
    <x v="0"/>
    <x v="10"/>
    <x v="0"/>
    <n v="98"/>
    <s v="Kentucky"/>
    <x v="2"/>
    <x v="15"/>
    <x v="0"/>
    <x v="7"/>
    <x v="1"/>
    <x v="4"/>
    <x v="1"/>
    <x v="1"/>
    <n v="32"/>
    <x v="3"/>
    <x v="2"/>
  </r>
  <r>
    <n v="2143"/>
    <x v="36"/>
    <x v="0"/>
    <x v="19"/>
    <x v="3"/>
    <n v="39"/>
    <s v="North Dakota"/>
    <x v="2"/>
    <x v="1"/>
    <x v="0"/>
    <x v="24"/>
    <x v="1"/>
    <x v="2"/>
    <x v="1"/>
    <x v="1"/>
    <n v="21"/>
    <x v="0"/>
    <x v="3"/>
  </r>
  <r>
    <n v="2144"/>
    <x v="10"/>
    <x v="0"/>
    <x v="3"/>
    <x v="1"/>
    <n v="66"/>
    <s v="Arkansas"/>
    <x v="0"/>
    <x v="16"/>
    <x v="3"/>
    <x v="22"/>
    <x v="1"/>
    <x v="2"/>
    <x v="1"/>
    <x v="1"/>
    <n v="48"/>
    <x v="0"/>
    <x v="4"/>
  </r>
  <r>
    <n v="2145"/>
    <x v="36"/>
    <x v="0"/>
    <x v="9"/>
    <x v="1"/>
    <n v="23"/>
    <s v="Maryland"/>
    <x v="0"/>
    <x v="20"/>
    <x v="0"/>
    <x v="18"/>
    <x v="1"/>
    <x v="1"/>
    <x v="1"/>
    <x v="1"/>
    <n v="25"/>
    <x v="3"/>
    <x v="3"/>
  </r>
  <r>
    <n v="2146"/>
    <x v="21"/>
    <x v="0"/>
    <x v="11"/>
    <x v="0"/>
    <n v="73"/>
    <s v="Connecticut"/>
    <x v="1"/>
    <x v="3"/>
    <x v="0"/>
    <x v="6"/>
    <x v="1"/>
    <x v="3"/>
    <x v="1"/>
    <x v="1"/>
    <n v="32"/>
    <x v="3"/>
    <x v="2"/>
  </r>
  <r>
    <n v="2147"/>
    <x v="39"/>
    <x v="0"/>
    <x v="12"/>
    <x v="3"/>
    <n v="23"/>
    <s v="Utah"/>
    <x v="3"/>
    <x v="3"/>
    <x v="2"/>
    <x v="12"/>
    <x v="1"/>
    <x v="3"/>
    <x v="1"/>
    <x v="1"/>
    <n v="45"/>
    <x v="3"/>
    <x v="6"/>
  </r>
  <r>
    <n v="2148"/>
    <x v="36"/>
    <x v="0"/>
    <x v="11"/>
    <x v="0"/>
    <n v="43"/>
    <s v="Missouri"/>
    <x v="1"/>
    <x v="4"/>
    <x v="3"/>
    <x v="6"/>
    <x v="1"/>
    <x v="3"/>
    <x v="1"/>
    <x v="1"/>
    <n v="4"/>
    <x v="1"/>
    <x v="0"/>
  </r>
  <r>
    <n v="2149"/>
    <x v="1"/>
    <x v="0"/>
    <x v="17"/>
    <x v="0"/>
    <n v="45"/>
    <s v="Nebraska"/>
    <x v="3"/>
    <x v="2"/>
    <x v="0"/>
    <x v="12"/>
    <x v="1"/>
    <x v="4"/>
    <x v="1"/>
    <x v="1"/>
    <n v="19"/>
    <x v="3"/>
    <x v="4"/>
  </r>
  <r>
    <n v="2150"/>
    <x v="21"/>
    <x v="0"/>
    <x v="3"/>
    <x v="1"/>
    <n v="21"/>
    <s v="Hawaii"/>
    <x v="0"/>
    <x v="20"/>
    <x v="0"/>
    <x v="17"/>
    <x v="1"/>
    <x v="3"/>
    <x v="1"/>
    <x v="1"/>
    <n v="1"/>
    <x v="4"/>
    <x v="1"/>
  </r>
  <r>
    <n v="2151"/>
    <x v="9"/>
    <x v="0"/>
    <x v="5"/>
    <x v="0"/>
    <n v="40"/>
    <s v="Illinois"/>
    <x v="2"/>
    <x v="20"/>
    <x v="1"/>
    <x v="5"/>
    <x v="1"/>
    <x v="4"/>
    <x v="1"/>
    <x v="1"/>
    <n v="12"/>
    <x v="1"/>
    <x v="1"/>
  </r>
  <r>
    <n v="2152"/>
    <x v="27"/>
    <x v="0"/>
    <x v="2"/>
    <x v="0"/>
    <n v="58"/>
    <s v="Vermont"/>
    <x v="0"/>
    <x v="18"/>
    <x v="3"/>
    <x v="5"/>
    <x v="1"/>
    <x v="4"/>
    <x v="1"/>
    <x v="1"/>
    <n v="18"/>
    <x v="0"/>
    <x v="5"/>
  </r>
  <r>
    <n v="2153"/>
    <x v="21"/>
    <x v="0"/>
    <x v="6"/>
    <x v="0"/>
    <n v="48"/>
    <s v="New Jersey"/>
    <x v="0"/>
    <x v="23"/>
    <x v="2"/>
    <x v="9"/>
    <x v="1"/>
    <x v="2"/>
    <x v="1"/>
    <x v="1"/>
    <n v="43"/>
    <x v="4"/>
    <x v="4"/>
  </r>
  <r>
    <n v="2154"/>
    <x v="25"/>
    <x v="0"/>
    <x v="5"/>
    <x v="0"/>
    <n v="94"/>
    <s v="Kentucky"/>
    <x v="2"/>
    <x v="10"/>
    <x v="3"/>
    <x v="19"/>
    <x v="1"/>
    <x v="1"/>
    <x v="1"/>
    <x v="1"/>
    <n v="31"/>
    <x v="3"/>
    <x v="2"/>
  </r>
  <r>
    <n v="2155"/>
    <x v="5"/>
    <x v="0"/>
    <x v="18"/>
    <x v="3"/>
    <n v="74"/>
    <s v="Wyoming"/>
    <x v="2"/>
    <x v="10"/>
    <x v="1"/>
    <x v="23"/>
    <x v="1"/>
    <x v="5"/>
    <x v="1"/>
    <x v="1"/>
    <n v="33"/>
    <x v="1"/>
    <x v="6"/>
  </r>
  <r>
    <n v="2156"/>
    <x v="45"/>
    <x v="0"/>
    <x v="8"/>
    <x v="3"/>
    <n v="51"/>
    <s v="Hawaii"/>
    <x v="0"/>
    <x v="22"/>
    <x v="3"/>
    <x v="18"/>
    <x v="1"/>
    <x v="5"/>
    <x v="1"/>
    <x v="1"/>
    <n v="46"/>
    <x v="3"/>
    <x v="5"/>
  </r>
  <r>
    <n v="2157"/>
    <x v="21"/>
    <x v="0"/>
    <x v="11"/>
    <x v="0"/>
    <n v="83"/>
    <s v="Missouri"/>
    <x v="2"/>
    <x v="1"/>
    <x v="0"/>
    <x v="15"/>
    <x v="1"/>
    <x v="2"/>
    <x v="1"/>
    <x v="1"/>
    <n v="41"/>
    <x v="5"/>
    <x v="4"/>
  </r>
  <r>
    <n v="2158"/>
    <x v="38"/>
    <x v="0"/>
    <x v="8"/>
    <x v="3"/>
    <n v="68"/>
    <s v="Mississippi"/>
    <x v="0"/>
    <x v="2"/>
    <x v="0"/>
    <x v="17"/>
    <x v="1"/>
    <x v="2"/>
    <x v="1"/>
    <x v="1"/>
    <n v="41"/>
    <x v="0"/>
    <x v="0"/>
  </r>
  <r>
    <n v="2159"/>
    <x v="1"/>
    <x v="0"/>
    <x v="24"/>
    <x v="3"/>
    <n v="84"/>
    <s v="Massachusetts"/>
    <x v="3"/>
    <x v="8"/>
    <x v="1"/>
    <x v="12"/>
    <x v="1"/>
    <x v="3"/>
    <x v="1"/>
    <x v="1"/>
    <n v="9"/>
    <x v="4"/>
    <x v="0"/>
  </r>
  <r>
    <n v="2160"/>
    <x v="20"/>
    <x v="0"/>
    <x v="5"/>
    <x v="0"/>
    <n v="58"/>
    <s v="Louisiana"/>
    <x v="2"/>
    <x v="15"/>
    <x v="3"/>
    <x v="21"/>
    <x v="1"/>
    <x v="1"/>
    <x v="1"/>
    <x v="1"/>
    <n v="34"/>
    <x v="1"/>
    <x v="2"/>
  </r>
  <r>
    <n v="2161"/>
    <x v="4"/>
    <x v="0"/>
    <x v="0"/>
    <x v="0"/>
    <n v="92"/>
    <s v="West Virginia"/>
    <x v="0"/>
    <x v="4"/>
    <x v="0"/>
    <x v="13"/>
    <x v="1"/>
    <x v="0"/>
    <x v="1"/>
    <x v="1"/>
    <n v="21"/>
    <x v="3"/>
    <x v="2"/>
  </r>
  <r>
    <n v="2162"/>
    <x v="51"/>
    <x v="0"/>
    <x v="10"/>
    <x v="0"/>
    <n v="69"/>
    <s v="Washington"/>
    <x v="1"/>
    <x v="15"/>
    <x v="2"/>
    <x v="22"/>
    <x v="1"/>
    <x v="0"/>
    <x v="1"/>
    <x v="1"/>
    <n v="5"/>
    <x v="5"/>
    <x v="0"/>
  </r>
  <r>
    <n v="2163"/>
    <x v="52"/>
    <x v="0"/>
    <x v="6"/>
    <x v="0"/>
    <n v="48"/>
    <s v="Oregon"/>
    <x v="1"/>
    <x v="13"/>
    <x v="2"/>
    <x v="2"/>
    <x v="1"/>
    <x v="1"/>
    <x v="1"/>
    <x v="1"/>
    <n v="32"/>
    <x v="3"/>
    <x v="1"/>
  </r>
  <r>
    <n v="2164"/>
    <x v="16"/>
    <x v="0"/>
    <x v="9"/>
    <x v="1"/>
    <n v="60"/>
    <s v="New York"/>
    <x v="0"/>
    <x v="0"/>
    <x v="1"/>
    <x v="9"/>
    <x v="1"/>
    <x v="0"/>
    <x v="1"/>
    <x v="1"/>
    <n v="44"/>
    <x v="4"/>
    <x v="5"/>
  </r>
  <r>
    <n v="2165"/>
    <x v="32"/>
    <x v="0"/>
    <x v="3"/>
    <x v="1"/>
    <n v="20"/>
    <s v="Iowa"/>
    <x v="1"/>
    <x v="8"/>
    <x v="0"/>
    <x v="6"/>
    <x v="1"/>
    <x v="2"/>
    <x v="1"/>
    <x v="1"/>
    <n v="46"/>
    <x v="3"/>
    <x v="4"/>
  </r>
  <r>
    <n v="2166"/>
    <x v="26"/>
    <x v="0"/>
    <x v="13"/>
    <x v="0"/>
    <n v="55"/>
    <s v="Idaho"/>
    <x v="2"/>
    <x v="2"/>
    <x v="2"/>
    <x v="19"/>
    <x v="1"/>
    <x v="0"/>
    <x v="1"/>
    <x v="1"/>
    <n v="42"/>
    <x v="2"/>
    <x v="6"/>
  </r>
  <r>
    <n v="2167"/>
    <x v="18"/>
    <x v="0"/>
    <x v="14"/>
    <x v="2"/>
    <n v="88"/>
    <s v="New Jersey"/>
    <x v="1"/>
    <x v="7"/>
    <x v="1"/>
    <x v="1"/>
    <x v="1"/>
    <x v="0"/>
    <x v="1"/>
    <x v="1"/>
    <n v="50"/>
    <x v="2"/>
    <x v="4"/>
  </r>
  <r>
    <n v="2168"/>
    <x v="11"/>
    <x v="0"/>
    <x v="11"/>
    <x v="0"/>
    <n v="48"/>
    <s v="Ohio"/>
    <x v="0"/>
    <x v="14"/>
    <x v="0"/>
    <x v="8"/>
    <x v="1"/>
    <x v="3"/>
    <x v="1"/>
    <x v="1"/>
    <n v="33"/>
    <x v="0"/>
    <x v="0"/>
  </r>
  <r>
    <n v="2169"/>
    <x v="51"/>
    <x v="0"/>
    <x v="8"/>
    <x v="3"/>
    <n v="74"/>
    <s v="Connecticut"/>
    <x v="2"/>
    <x v="19"/>
    <x v="1"/>
    <x v="7"/>
    <x v="1"/>
    <x v="2"/>
    <x v="1"/>
    <x v="1"/>
    <n v="32"/>
    <x v="1"/>
    <x v="3"/>
  </r>
  <r>
    <n v="2170"/>
    <x v="18"/>
    <x v="0"/>
    <x v="7"/>
    <x v="2"/>
    <n v="42"/>
    <s v="Florida"/>
    <x v="2"/>
    <x v="18"/>
    <x v="3"/>
    <x v="3"/>
    <x v="1"/>
    <x v="2"/>
    <x v="1"/>
    <x v="1"/>
    <n v="32"/>
    <x v="4"/>
    <x v="4"/>
  </r>
  <r>
    <n v="2171"/>
    <x v="37"/>
    <x v="0"/>
    <x v="1"/>
    <x v="0"/>
    <n v="32"/>
    <s v="South Carolina"/>
    <x v="2"/>
    <x v="2"/>
    <x v="3"/>
    <x v="17"/>
    <x v="1"/>
    <x v="2"/>
    <x v="1"/>
    <x v="1"/>
    <n v="37"/>
    <x v="0"/>
    <x v="6"/>
  </r>
  <r>
    <n v="2172"/>
    <x v="31"/>
    <x v="0"/>
    <x v="6"/>
    <x v="0"/>
    <n v="98"/>
    <s v="Missouri"/>
    <x v="2"/>
    <x v="22"/>
    <x v="2"/>
    <x v="12"/>
    <x v="1"/>
    <x v="5"/>
    <x v="1"/>
    <x v="1"/>
    <n v="9"/>
    <x v="1"/>
    <x v="0"/>
  </r>
  <r>
    <n v="2173"/>
    <x v="48"/>
    <x v="0"/>
    <x v="11"/>
    <x v="0"/>
    <n v="89"/>
    <s v="Rhode Island"/>
    <x v="1"/>
    <x v="12"/>
    <x v="3"/>
    <x v="11"/>
    <x v="1"/>
    <x v="5"/>
    <x v="1"/>
    <x v="1"/>
    <n v="6"/>
    <x v="3"/>
    <x v="0"/>
  </r>
  <r>
    <n v="2174"/>
    <x v="51"/>
    <x v="0"/>
    <x v="24"/>
    <x v="3"/>
    <n v="97"/>
    <s v="Delaware"/>
    <x v="1"/>
    <x v="17"/>
    <x v="2"/>
    <x v="16"/>
    <x v="1"/>
    <x v="4"/>
    <x v="1"/>
    <x v="1"/>
    <n v="36"/>
    <x v="0"/>
    <x v="3"/>
  </r>
  <r>
    <n v="2175"/>
    <x v="32"/>
    <x v="0"/>
    <x v="21"/>
    <x v="3"/>
    <n v="49"/>
    <s v="Colorado"/>
    <x v="1"/>
    <x v="8"/>
    <x v="1"/>
    <x v="3"/>
    <x v="1"/>
    <x v="5"/>
    <x v="1"/>
    <x v="1"/>
    <n v="1"/>
    <x v="1"/>
    <x v="2"/>
  </r>
  <r>
    <n v="2176"/>
    <x v="33"/>
    <x v="0"/>
    <x v="10"/>
    <x v="0"/>
    <n v="50"/>
    <s v="Nebraska"/>
    <x v="2"/>
    <x v="5"/>
    <x v="1"/>
    <x v="13"/>
    <x v="1"/>
    <x v="1"/>
    <x v="1"/>
    <x v="1"/>
    <n v="48"/>
    <x v="2"/>
    <x v="0"/>
  </r>
  <r>
    <n v="2177"/>
    <x v="41"/>
    <x v="0"/>
    <x v="22"/>
    <x v="3"/>
    <n v="91"/>
    <s v="Vermont"/>
    <x v="1"/>
    <x v="16"/>
    <x v="0"/>
    <x v="23"/>
    <x v="1"/>
    <x v="4"/>
    <x v="1"/>
    <x v="1"/>
    <n v="44"/>
    <x v="5"/>
    <x v="3"/>
  </r>
  <r>
    <n v="2178"/>
    <x v="41"/>
    <x v="0"/>
    <x v="24"/>
    <x v="3"/>
    <n v="93"/>
    <s v="Montana"/>
    <x v="3"/>
    <x v="14"/>
    <x v="0"/>
    <x v="21"/>
    <x v="1"/>
    <x v="0"/>
    <x v="1"/>
    <x v="1"/>
    <n v="9"/>
    <x v="3"/>
    <x v="4"/>
  </r>
  <r>
    <n v="2179"/>
    <x v="3"/>
    <x v="0"/>
    <x v="16"/>
    <x v="3"/>
    <n v="98"/>
    <s v="Florida"/>
    <x v="2"/>
    <x v="9"/>
    <x v="2"/>
    <x v="10"/>
    <x v="1"/>
    <x v="3"/>
    <x v="1"/>
    <x v="1"/>
    <n v="32"/>
    <x v="0"/>
    <x v="2"/>
  </r>
  <r>
    <n v="2180"/>
    <x v="34"/>
    <x v="0"/>
    <x v="20"/>
    <x v="0"/>
    <n v="82"/>
    <s v="Delaware"/>
    <x v="0"/>
    <x v="12"/>
    <x v="3"/>
    <x v="3"/>
    <x v="1"/>
    <x v="2"/>
    <x v="1"/>
    <x v="1"/>
    <n v="14"/>
    <x v="3"/>
    <x v="5"/>
  </r>
  <r>
    <n v="2181"/>
    <x v="38"/>
    <x v="0"/>
    <x v="7"/>
    <x v="2"/>
    <n v="37"/>
    <s v="Connecticut"/>
    <x v="2"/>
    <x v="22"/>
    <x v="2"/>
    <x v="7"/>
    <x v="1"/>
    <x v="5"/>
    <x v="1"/>
    <x v="1"/>
    <n v="43"/>
    <x v="1"/>
    <x v="3"/>
  </r>
  <r>
    <n v="2182"/>
    <x v="40"/>
    <x v="0"/>
    <x v="8"/>
    <x v="3"/>
    <n v="63"/>
    <s v="Hawaii"/>
    <x v="2"/>
    <x v="13"/>
    <x v="3"/>
    <x v="4"/>
    <x v="1"/>
    <x v="1"/>
    <x v="1"/>
    <x v="1"/>
    <n v="32"/>
    <x v="4"/>
    <x v="4"/>
  </r>
  <r>
    <n v="2183"/>
    <x v="32"/>
    <x v="0"/>
    <x v="0"/>
    <x v="0"/>
    <n v="99"/>
    <s v="New Mexico"/>
    <x v="2"/>
    <x v="1"/>
    <x v="0"/>
    <x v="2"/>
    <x v="1"/>
    <x v="5"/>
    <x v="1"/>
    <x v="1"/>
    <n v="26"/>
    <x v="0"/>
    <x v="4"/>
  </r>
  <r>
    <n v="2184"/>
    <x v="11"/>
    <x v="0"/>
    <x v="6"/>
    <x v="0"/>
    <n v="37"/>
    <s v="Kansas"/>
    <x v="2"/>
    <x v="1"/>
    <x v="1"/>
    <x v="10"/>
    <x v="1"/>
    <x v="5"/>
    <x v="1"/>
    <x v="1"/>
    <n v="2"/>
    <x v="1"/>
    <x v="5"/>
  </r>
  <r>
    <n v="2185"/>
    <x v="21"/>
    <x v="0"/>
    <x v="9"/>
    <x v="1"/>
    <n v="34"/>
    <s v="Nevada"/>
    <x v="1"/>
    <x v="9"/>
    <x v="1"/>
    <x v="4"/>
    <x v="1"/>
    <x v="1"/>
    <x v="1"/>
    <x v="1"/>
    <n v="16"/>
    <x v="3"/>
    <x v="6"/>
  </r>
  <r>
    <n v="2186"/>
    <x v="37"/>
    <x v="0"/>
    <x v="6"/>
    <x v="0"/>
    <n v="32"/>
    <s v="North Carolina"/>
    <x v="2"/>
    <x v="10"/>
    <x v="0"/>
    <x v="25"/>
    <x v="1"/>
    <x v="0"/>
    <x v="1"/>
    <x v="1"/>
    <n v="50"/>
    <x v="5"/>
    <x v="6"/>
  </r>
  <r>
    <n v="2187"/>
    <x v="0"/>
    <x v="0"/>
    <x v="3"/>
    <x v="1"/>
    <n v="23"/>
    <s v="New Mexico"/>
    <x v="3"/>
    <x v="11"/>
    <x v="0"/>
    <x v="24"/>
    <x v="1"/>
    <x v="2"/>
    <x v="1"/>
    <x v="1"/>
    <n v="6"/>
    <x v="3"/>
    <x v="6"/>
  </r>
  <r>
    <n v="2188"/>
    <x v="43"/>
    <x v="0"/>
    <x v="0"/>
    <x v="0"/>
    <n v="78"/>
    <s v="Idaho"/>
    <x v="2"/>
    <x v="10"/>
    <x v="1"/>
    <x v="14"/>
    <x v="1"/>
    <x v="1"/>
    <x v="1"/>
    <x v="1"/>
    <n v="20"/>
    <x v="3"/>
    <x v="2"/>
  </r>
  <r>
    <n v="2189"/>
    <x v="38"/>
    <x v="0"/>
    <x v="7"/>
    <x v="2"/>
    <n v="54"/>
    <s v="California"/>
    <x v="2"/>
    <x v="18"/>
    <x v="0"/>
    <x v="10"/>
    <x v="1"/>
    <x v="2"/>
    <x v="1"/>
    <x v="1"/>
    <n v="9"/>
    <x v="2"/>
    <x v="1"/>
  </r>
  <r>
    <n v="2190"/>
    <x v="21"/>
    <x v="0"/>
    <x v="0"/>
    <x v="0"/>
    <n v="94"/>
    <s v="Wisconsin"/>
    <x v="3"/>
    <x v="18"/>
    <x v="3"/>
    <x v="17"/>
    <x v="1"/>
    <x v="0"/>
    <x v="1"/>
    <x v="1"/>
    <n v="47"/>
    <x v="2"/>
    <x v="4"/>
  </r>
  <r>
    <n v="2191"/>
    <x v="32"/>
    <x v="0"/>
    <x v="22"/>
    <x v="3"/>
    <n v="75"/>
    <s v="Alaska"/>
    <x v="1"/>
    <x v="1"/>
    <x v="1"/>
    <x v="12"/>
    <x v="1"/>
    <x v="0"/>
    <x v="1"/>
    <x v="1"/>
    <n v="33"/>
    <x v="2"/>
    <x v="2"/>
  </r>
  <r>
    <n v="2192"/>
    <x v="8"/>
    <x v="0"/>
    <x v="0"/>
    <x v="0"/>
    <n v="69"/>
    <s v="Pennsylvania"/>
    <x v="1"/>
    <x v="1"/>
    <x v="2"/>
    <x v="22"/>
    <x v="1"/>
    <x v="2"/>
    <x v="1"/>
    <x v="1"/>
    <n v="46"/>
    <x v="1"/>
    <x v="4"/>
  </r>
  <r>
    <n v="2193"/>
    <x v="38"/>
    <x v="0"/>
    <x v="18"/>
    <x v="3"/>
    <n v="35"/>
    <s v="Virginia"/>
    <x v="0"/>
    <x v="22"/>
    <x v="0"/>
    <x v="4"/>
    <x v="1"/>
    <x v="2"/>
    <x v="1"/>
    <x v="1"/>
    <n v="9"/>
    <x v="2"/>
    <x v="5"/>
  </r>
  <r>
    <n v="2194"/>
    <x v="7"/>
    <x v="0"/>
    <x v="5"/>
    <x v="0"/>
    <n v="78"/>
    <s v="California"/>
    <x v="0"/>
    <x v="2"/>
    <x v="1"/>
    <x v="16"/>
    <x v="1"/>
    <x v="0"/>
    <x v="1"/>
    <x v="1"/>
    <n v="8"/>
    <x v="3"/>
    <x v="5"/>
  </r>
  <r>
    <n v="2195"/>
    <x v="12"/>
    <x v="0"/>
    <x v="20"/>
    <x v="0"/>
    <n v="29"/>
    <s v="Kentucky"/>
    <x v="2"/>
    <x v="5"/>
    <x v="2"/>
    <x v="1"/>
    <x v="1"/>
    <x v="3"/>
    <x v="1"/>
    <x v="1"/>
    <n v="48"/>
    <x v="4"/>
    <x v="3"/>
  </r>
  <r>
    <n v="2196"/>
    <x v="44"/>
    <x v="0"/>
    <x v="2"/>
    <x v="0"/>
    <n v="62"/>
    <s v="New York"/>
    <x v="2"/>
    <x v="18"/>
    <x v="3"/>
    <x v="18"/>
    <x v="1"/>
    <x v="2"/>
    <x v="1"/>
    <x v="1"/>
    <n v="2"/>
    <x v="1"/>
    <x v="5"/>
  </r>
  <r>
    <n v="2197"/>
    <x v="15"/>
    <x v="0"/>
    <x v="10"/>
    <x v="0"/>
    <n v="58"/>
    <s v="Vermont"/>
    <x v="2"/>
    <x v="0"/>
    <x v="1"/>
    <x v="6"/>
    <x v="1"/>
    <x v="2"/>
    <x v="1"/>
    <x v="1"/>
    <n v="31"/>
    <x v="3"/>
    <x v="1"/>
  </r>
  <r>
    <n v="2198"/>
    <x v="23"/>
    <x v="0"/>
    <x v="23"/>
    <x v="1"/>
    <n v="88"/>
    <s v="Pennsylvania"/>
    <x v="2"/>
    <x v="21"/>
    <x v="2"/>
    <x v="18"/>
    <x v="1"/>
    <x v="4"/>
    <x v="1"/>
    <x v="1"/>
    <n v="40"/>
    <x v="0"/>
    <x v="5"/>
  </r>
  <r>
    <n v="2199"/>
    <x v="9"/>
    <x v="0"/>
    <x v="18"/>
    <x v="3"/>
    <n v="80"/>
    <s v="New York"/>
    <x v="0"/>
    <x v="2"/>
    <x v="2"/>
    <x v="1"/>
    <x v="1"/>
    <x v="1"/>
    <x v="1"/>
    <x v="1"/>
    <n v="35"/>
    <x v="0"/>
    <x v="5"/>
  </r>
  <r>
    <n v="2200"/>
    <x v="31"/>
    <x v="0"/>
    <x v="18"/>
    <x v="3"/>
    <n v="47"/>
    <s v="North Carolina"/>
    <x v="2"/>
    <x v="1"/>
    <x v="2"/>
    <x v="8"/>
    <x v="1"/>
    <x v="5"/>
    <x v="1"/>
    <x v="1"/>
    <n v="40"/>
    <x v="5"/>
    <x v="5"/>
  </r>
  <r>
    <n v="2201"/>
    <x v="52"/>
    <x v="0"/>
    <x v="24"/>
    <x v="3"/>
    <n v="51"/>
    <s v="Wyoming"/>
    <x v="0"/>
    <x v="4"/>
    <x v="2"/>
    <x v="10"/>
    <x v="1"/>
    <x v="2"/>
    <x v="1"/>
    <x v="1"/>
    <n v="27"/>
    <x v="5"/>
    <x v="6"/>
  </r>
  <r>
    <n v="2202"/>
    <x v="31"/>
    <x v="0"/>
    <x v="13"/>
    <x v="0"/>
    <n v="25"/>
    <s v="Ohio"/>
    <x v="0"/>
    <x v="15"/>
    <x v="1"/>
    <x v="8"/>
    <x v="1"/>
    <x v="4"/>
    <x v="1"/>
    <x v="1"/>
    <n v="10"/>
    <x v="0"/>
    <x v="2"/>
  </r>
  <r>
    <n v="2203"/>
    <x v="32"/>
    <x v="0"/>
    <x v="10"/>
    <x v="0"/>
    <n v="36"/>
    <s v="Alabama"/>
    <x v="2"/>
    <x v="16"/>
    <x v="2"/>
    <x v="24"/>
    <x v="1"/>
    <x v="2"/>
    <x v="1"/>
    <x v="1"/>
    <n v="23"/>
    <x v="2"/>
    <x v="1"/>
  </r>
  <r>
    <n v="2204"/>
    <x v="10"/>
    <x v="0"/>
    <x v="10"/>
    <x v="0"/>
    <n v="79"/>
    <s v="Rhode Island"/>
    <x v="2"/>
    <x v="21"/>
    <x v="0"/>
    <x v="0"/>
    <x v="1"/>
    <x v="1"/>
    <x v="1"/>
    <x v="1"/>
    <n v="32"/>
    <x v="1"/>
    <x v="3"/>
  </r>
  <r>
    <n v="2205"/>
    <x v="30"/>
    <x v="0"/>
    <x v="2"/>
    <x v="0"/>
    <n v="41"/>
    <s v="Oregon"/>
    <x v="1"/>
    <x v="12"/>
    <x v="0"/>
    <x v="23"/>
    <x v="1"/>
    <x v="4"/>
    <x v="1"/>
    <x v="1"/>
    <n v="6"/>
    <x v="5"/>
    <x v="5"/>
  </r>
  <r>
    <n v="2206"/>
    <x v="5"/>
    <x v="0"/>
    <x v="1"/>
    <x v="0"/>
    <n v="68"/>
    <s v="North Dakota"/>
    <x v="3"/>
    <x v="16"/>
    <x v="3"/>
    <x v="2"/>
    <x v="1"/>
    <x v="0"/>
    <x v="1"/>
    <x v="1"/>
    <n v="27"/>
    <x v="3"/>
    <x v="1"/>
  </r>
  <r>
    <n v="2207"/>
    <x v="5"/>
    <x v="0"/>
    <x v="3"/>
    <x v="1"/>
    <n v="51"/>
    <s v="Illinois"/>
    <x v="0"/>
    <x v="14"/>
    <x v="1"/>
    <x v="5"/>
    <x v="1"/>
    <x v="5"/>
    <x v="1"/>
    <x v="1"/>
    <n v="25"/>
    <x v="4"/>
    <x v="0"/>
  </r>
  <r>
    <n v="2208"/>
    <x v="28"/>
    <x v="0"/>
    <x v="8"/>
    <x v="3"/>
    <n v="38"/>
    <s v="New Mexico"/>
    <x v="2"/>
    <x v="0"/>
    <x v="3"/>
    <x v="3"/>
    <x v="1"/>
    <x v="2"/>
    <x v="1"/>
    <x v="1"/>
    <n v="11"/>
    <x v="2"/>
    <x v="2"/>
  </r>
  <r>
    <n v="2209"/>
    <x v="48"/>
    <x v="0"/>
    <x v="18"/>
    <x v="3"/>
    <n v="46"/>
    <s v="Colorado"/>
    <x v="3"/>
    <x v="10"/>
    <x v="2"/>
    <x v="2"/>
    <x v="1"/>
    <x v="4"/>
    <x v="1"/>
    <x v="1"/>
    <n v="23"/>
    <x v="3"/>
    <x v="5"/>
  </r>
  <r>
    <n v="2210"/>
    <x v="32"/>
    <x v="0"/>
    <x v="3"/>
    <x v="1"/>
    <n v="20"/>
    <s v="Utah"/>
    <x v="3"/>
    <x v="19"/>
    <x v="2"/>
    <x v="9"/>
    <x v="1"/>
    <x v="4"/>
    <x v="1"/>
    <x v="1"/>
    <n v="44"/>
    <x v="4"/>
    <x v="3"/>
  </r>
  <r>
    <n v="2211"/>
    <x v="11"/>
    <x v="0"/>
    <x v="12"/>
    <x v="3"/>
    <n v="25"/>
    <s v="Virginia"/>
    <x v="2"/>
    <x v="20"/>
    <x v="2"/>
    <x v="0"/>
    <x v="1"/>
    <x v="5"/>
    <x v="1"/>
    <x v="1"/>
    <n v="35"/>
    <x v="3"/>
    <x v="0"/>
  </r>
  <r>
    <n v="2212"/>
    <x v="2"/>
    <x v="0"/>
    <x v="1"/>
    <x v="0"/>
    <n v="89"/>
    <s v="Maine"/>
    <x v="0"/>
    <x v="7"/>
    <x v="0"/>
    <x v="4"/>
    <x v="1"/>
    <x v="1"/>
    <x v="1"/>
    <x v="1"/>
    <n v="45"/>
    <x v="5"/>
    <x v="6"/>
  </r>
  <r>
    <n v="2213"/>
    <x v="35"/>
    <x v="0"/>
    <x v="13"/>
    <x v="0"/>
    <n v="77"/>
    <s v="Nebraska"/>
    <x v="2"/>
    <x v="18"/>
    <x v="0"/>
    <x v="13"/>
    <x v="1"/>
    <x v="2"/>
    <x v="1"/>
    <x v="1"/>
    <n v="22"/>
    <x v="4"/>
    <x v="3"/>
  </r>
  <r>
    <n v="2214"/>
    <x v="22"/>
    <x v="0"/>
    <x v="19"/>
    <x v="3"/>
    <n v="94"/>
    <s v="Hawaii"/>
    <x v="2"/>
    <x v="1"/>
    <x v="3"/>
    <x v="3"/>
    <x v="1"/>
    <x v="0"/>
    <x v="1"/>
    <x v="1"/>
    <n v="18"/>
    <x v="5"/>
    <x v="3"/>
  </r>
  <r>
    <n v="2215"/>
    <x v="2"/>
    <x v="0"/>
    <x v="22"/>
    <x v="3"/>
    <n v="100"/>
    <s v="Idaho"/>
    <x v="0"/>
    <x v="9"/>
    <x v="3"/>
    <x v="7"/>
    <x v="1"/>
    <x v="3"/>
    <x v="1"/>
    <x v="1"/>
    <n v="20"/>
    <x v="5"/>
    <x v="1"/>
  </r>
  <r>
    <n v="2216"/>
    <x v="15"/>
    <x v="0"/>
    <x v="3"/>
    <x v="1"/>
    <n v="96"/>
    <s v="West Virginia"/>
    <x v="2"/>
    <x v="21"/>
    <x v="0"/>
    <x v="2"/>
    <x v="1"/>
    <x v="0"/>
    <x v="1"/>
    <x v="1"/>
    <n v="28"/>
    <x v="2"/>
    <x v="0"/>
  </r>
  <r>
    <n v="2217"/>
    <x v="38"/>
    <x v="0"/>
    <x v="13"/>
    <x v="0"/>
    <n v="36"/>
    <s v="Vermont"/>
    <x v="3"/>
    <x v="5"/>
    <x v="0"/>
    <x v="17"/>
    <x v="1"/>
    <x v="5"/>
    <x v="1"/>
    <x v="1"/>
    <n v="15"/>
    <x v="0"/>
    <x v="4"/>
  </r>
  <r>
    <n v="2218"/>
    <x v="25"/>
    <x v="0"/>
    <x v="16"/>
    <x v="3"/>
    <n v="27"/>
    <s v="Indiana"/>
    <x v="3"/>
    <x v="16"/>
    <x v="3"/>
    <x v="5"/>
    <x v="1"/>
    <x v="5"/>
    <x v="1"/>
    <x v="1"/>
    <n v="42"/>
    <x v="4"/>
    <x v="0"/>
  </r>
  <r>
    <n v="2219"/>
    <x v="29"/>
    <x v="0"/>
    <x v="12"/>
    <x v="3"/>
    <n v="67"/>
    <s v="Idaho"/>
    <x v="2"/>
    <x v="23"/>
    <x v="0"/>
    <x v="1"/>
    <x v="1"/>
    <x v="5"/>
    <x v="1"/>
    <x v="1"/>
    <n v="20"/>
    <x v="5"/>
    <x v="3"/>
  </r>
  <r>
    <n v="2220"/>
    <x v="23"/>
    <x v="0"/>
    <x v="0"/>
    <x v="0"/>
    <n v="91"/>
    <s v="Minnesota"/>
    <x v="1"/>
    <x v="7"/>
    <x v="3"/>
    <x v="11"/>
    <x v="1"/>
    <x v="5"/>
    <x v="1"/>
    <x v="1"/>
    <n v="16"/>
    <x v="4"/>
    <x v="0"/>
  </r>
  <r>
    <n v="2221"/>
    <x v="1"/>
    <x v="0"/>
    <x v="22"/>
    <x v="3"/>
    <n v="62"/>
    <s v="Wyoming"/>
    <x v="3"/>
    <x v="19"/>
    <x v="3"/>
    <x v="9"/>
    <x v="1"/>
    <x v="5"/>
    <x v="1"/>
    <x v="1"/>
    <n v="47"/>
    <x v="1"/>
    <x v="2"/>
  </r>
  <r>
    <n v="2222"/>
    <x v="15"/>
    <x v="0"/>
    <x v="6"/>
    <x v="0"/>
    <n v="88"/>
    <s v="Kansas"/>
    <x v="3"/>
    <x v="3"/>
    <x v="3"/>
    <x v="21"/>
    <x v="1"/>
    <x v="1"/>
    <x v="1"/>
    <x v="1"/>
    <n v="34"/>
    <x v="2"/>
    <x v="2"/>
  </r>
  <r>
    <n v="2223"/>
    <x v="45"/>
    <x v="0"/>
    <x v="13"/>
    <x v="0"/>
    <n v="66"/>
    <s v="Georgia"/>
    <x v="2"/>
    <x v="11"/>
    <x v="2"/>
    <x v="14"/>
    <x v="1"/>
    <x v="5"/>
    <x v="1"/>
    <x v="1"/>
    <n v="30"/>
    <x v="2"/>
    <x v="1"/>
  </r>
  <r>
    <n v="2224"/>
    <x v="11"/>
    <x v="0"/>
    <x v="3"/>
    <x v="1"/>
    <n v="65"/>
    <s v="Kansas"/>
    <x v="2"/>
    <x v="0"/>
    <x v="3"/>
    <x v="10"/>
    <x v="1"/>
    <x v="2"/>
    <x v="1"/>
    <x v="1"/>
    <n v="5"/>
    <x v="3"/>
    <x v="3"/>
  </r>
  <r>
    <n v="2225"/>
    <x v="20"/>
    <x v="0"/>
    <x v="24"/>
    <x v="3"/>
    <n v="25"/>
    <s v="Nebraska"/>
    <x v="0"/>
    <x v="4"/>
    <x v="0"/>
    <x v="24"/>
    <x v="1"/>
    <x v="3"/>
    <x v="1"/>
    <x v="1"/>
    <n v="38"/>
    <x v="1"/>
    <x v="3"/>
  </r>
  <r>
    <n v="2226"/>
    <x v="21"/>
    <x v="0"/>
    <x v="22"/>
    <x v="3"/>
    <n v="64"/>
    <s v="Washington"/>
    <x v="1"/>
    <x v="8"/>
    <x v="1"/>
    <x v="6"/>
    <x v="1"/>
    <x v="1"/>
    <x v="1"/>
    <x v="1"/>
    <n v="18"/>
    <x v="2"/>
    <x v="2"/>
  </r>
  <r>
    <n v="2227"/>
    <x v="40"/>
    <x v="0"/>
    <x v="5"/>
    <x v="0"/>
    <n v="72"/>
    <s v="Missouri"/>
    <x v="0"/>
    <x v="24"/>
    <x v="1"/>
    <x v="6"/>
    <x v="1"/>
    <x v="5"/>
    <x v="1"/>
    <x v="1"/>
    <n v="28"/>
    <x v="1"/>
    <x v="2"/>
  </r>
  <r>
    <n v="2228"/>
    <x v="37"/>
    <x v="0"/>
    <x v="18"/>
    <x v="3"/>
    <n v="74"/>
    <s v="Washington"/>
    <x v="1"/>
    <x v="0"/>
    <x v="2"/>
    <x v="14"/>
    <x v="1"/>
    <x v="2"/>
    <x v="1"/>
    <x v="1"/>
    <n v="42"/>
    <x v="2"/>
    <x v="0"/>
  </r>
  <r>
    <n v="2229"/>
    <x v="22"/>
    <x v="0"/>
    <x v="24"/>
    <x v="3"/>
    <n v="50"/>
    <s v="Kansas"/>
    <x v="2"/>
    <x v="14"/>
    <x v="3"/>
    <x v="18"/>
    <x v="1"/>
    <x v="1"/>
    <x v="1"/>
    <x v="1"/>
    <n v="5"/>
    <x v="2"/>
    <x v="1"/>
  </r>
  <r>
    <n v="2230"/>
    <x v="27"/>
    <x v="0"/>
    <x v="13"/>
    <x v="0"/>
    <n v="97"/>
    <s v="Minnesota"/>
    <x v="2"/>
    <x v="5"/>
    <x v="3"/>
    <x v="20"/>
    <x v="1"/>
    <x v="0"/>
    <x v="1"/>
    <x v="1"/>
    <n v="50"/>
    <x v="0"/>
    <x v="5"/>
  </r>
  <r>
    <n v="2231"/>
    <x v="16"/>
    <x v="0"/>
    <x v="4"/>
    <x v="1"/>
    <n v="36"/>
    <s v="Colorado"/>
    <x v="1"/>
    <x v="11"/>
    <x v="1"/>
    <x v="22"/>
    <x v="1"/>
    <x v="0"/>
    <x v="1"/>
    <x v="1"/>
    <n v="33"/>
    <x v="0"/>
    <x v="0"/>
  </r>
  <r>
    <n v="2232"/>
    <x v="50"/>
    <x v="0"/>
    <x v="14"/>
    <x v="2"/>
    <n v="49"/>
    <s v="Utah"/>
    <x v="2"/>
    <x v="19"/>
    <x v="3"/>
    <x v="7"/>
    <x v="1"/>
    <x v="5"/>
    <x v="1"/>
    <x v="1"/>
    <n v="1"/>
    <x v="2"/>
    <x v="1"/>
  </r>
  <r>
    <n v="2233"/>
    <x v="13"/>
    <x v="0"/>
    <x v="9"/>
    <x v="1"/>
    <n v="64"/>
    <s v="North Carolina"/>
    <x v="0"/>
    <x v="12"/>
    <x v="1"/>
    <x v="17"/>
    <x v="1"/>
    <x v="5"/>
    <x v="1"/>
    <x v="1"/>
    <n v="14"/>
    <x v="1"/>
    <x v="0"/>
  </r>
  <r>
    <n v="2234"/>
    <x v="21"/>
    <x v="0"/>
    <x v="0"/>
    <x v="0"/>
    <n v="31"/>
    <s v="Florida"/>
    <x v="3"/>
    <x v="0"/>
    <x v="2"/>
    <x v="9"/>
    <x v="1"/>
    <x v="0"/>
    <x v="1"/>
    <x v="1"/>
    <n v="48"/>
    <x v="2"/>
    <x v="5"/>
  </r>
  <r>
    <n v="2235"/>
    <x v="25"/>
    <x v="0"/>
    <x v="23"/>
    <x v="1"/>
    <n v="66"/>
    <s v="New Hampshire"/>
    <x v="1"/>
    <x v="22"/>
    <x v="0"/>
    <x v="17"/>
    <x v="1"/>
    <x v="0"/>
    <x v="1"/>
    <x v="1"/>
    <n v="26"/>
    <x v="1"/>
    <x v="1"/>
  </r>
  <r>
    <n v="2236"/>
    <x v="37"/>
    <x v="0"/>
    <x v="20"/>
    <x v="0"/>
    <n v="82"/>
    <s v="Illinois"/>
    <x v="2"/>
    <x v="0"/>
    <x v="1"/>
    <x v="9"/>
    <x v="1"/>
    <x v="4"/>
    <x v="1"/>
    <x v="1"/>
    <n v="44"/>
    <x v="2"/>
    <x v="2"/>
  </r>
  <r>
    <n v="2237"/>
    <x v="51"/>
    <x v="0"/>
    <x v="17"/>
    <x v="0"/>
    <n v="88"/>
    <s v="Louisiana"/>
    <x v="2"/>
    <x v="22"/>
    <x v="0"/>
    <x v="2"/>
    <x v="1"/>
    <x v="3"/>
    <x v="1"/>
    <x v="1"/>
    <n v="18"/>
    <x v="5"/>
    <x v="0"/>
  </r>
  <r>
    <n v="2238"/>
    <x v="4"/>
    <x v="0"/>
    <x v="3"/>
    <x v="1"/>
    <n v="34"/>
    <s v="Alabama"/>
    <x v="1"/>
    <x v="13"/>
    <x v="2"/>
    <x v="22"/>
    <x v="1"/>
    <x v="2"/>
    <x v="1"/>
    <x v="1"/>
    <n v="31"/>
    <x v="0"/>
    <x v="6"/>
  </r>
  <r>
    <n v="2239"/>
    <x v="37"/>
    <x v="0"/>
    <x v="4"/>
    <x v="1"/>
    <n v="84"/>
    <s v="Florida"/>
    <x v="0"/>
    <x v="19"/>
    <x v="0"/>
    <x v="22"/>
    <x v="1"/>
    <x v="3"/>
    <x v="1"/>
    <x v="1"/>
    <n v="18"/>
    <x v="5"/>
    <x v="1"/>
  </r>
  <r>
    <n v="2240"/>
    <x v="32"/>
    <x v="0"/>
    <x v="16"/>
    <x v="3"/>
    <n v="96"/>
    <s v="Alabama"/>
    <x v="0"/>
    <x v="21"/>
    <x v="2"/>
    <x v="22"/>
    <x v="1"/>
    <x v="4"/>
    <x v="1"/>
    <x v="1"/>
    <n v="41"/>
    <x v="2"/>
    <x v="6"/>
  </r>
  <r>
    <n v="2241"/>
    <x v="9"/>
    <x v="0"/>
    <x v="3"/>
    <x v="1"/>
    <n v="71"/>
    <s v="California"/>
    <x v="0"/>
    <x v="14"/>
    <x v="0"/>
    <x v="24"/>
    <x v="1"/>
    <x v="2"/>
    <x v="1"/>
    <x v="1"/>
    <n v="18"/>
    <x v="5"/>
    <x v="6"/>
  </r>
  <r>
    <n v="2242"/>
    <x v="20"/>
    <x v="0"/>
    <x v="14"/>
    <x v="2"/>
    <n v="77"/>
    <s v="Maryland"/>
    <x v="2"/>
    <x v="7"/>
    <x v="2"/>
    <x v="1"/>
    <x v="1"/>
    <x v="1"/>
    <x v="1"/>
    <x v="1"/>
    <n v="3"/>
    <x v="4"/>
    <x v="4"/>
  </r>
  <r>
    <n v="2243"/>
    <x v="20"/>
    <x v="0"/>
    <x v="11"/>
    <x v="0"/>
    <n v="66"/>
    <s v="Nevada"/>
    <x v="2"/>
    <x v="20"/>
    <x v="1"/>
    <x v="22"/>
    <x v="1"/>
    <x v="2"/>
    <x v="1"/>
    <x v="1"/>
    <n v="5"/>
    <x v="2"/>
    <x v="4"/>
  </r>
  <r>
    <n v="2244"/>
    <x v="19"/>
    <x v="0"/>
    <x v="5"/>
    <x v="0"/>
    <n v="21"/>
    <s v="Massachusetts"/>
    <x v="2"/>
    <x v="11"/>
    <x v="0"/>
    <x v="18"/>
    <x v="1"/>
    <x v="4"/>
    <x v="1"/>
    <x v="1"/>
    <n v="13"/>
    <x v="5"/>
    <x v="2"/>
  </r>
  <r>
    <n v="2245"/>
    <x v="25"/>
    <x v="0"/>
    <x v="6"/>
    <x v="0"/>
    <n v="37"/>
    <s v="South Carolina"/>
    <x v="2"/>
    <x v="9"/>
    <x v="2"/>
    <x v="6"/>
    <x v="1"/>
    <x v="4"/>
    <x v="1"/>
    <x v="1"/>
    <n v="22"/>
    <x v="3"/>
    <x v="2"/>
  </r>
  <r>
    <n v="2246"/>
    <x v="34"/>
    <x v="0"/>
    <x v="20"/>
    <x v="0"/>
    <n v="90"/>
    <s v="Delaware"/>
    <x v="0"/>
    <x v="0"/>
    <x v="3"/>
    <x v="8"/>
    <x v="1"/>
    <x v="1"/>
    <x v="1"/>
    <x v="1"/>
    <n v="45"/>
    <x v="3"/>
    <x v="0"/>
  </r>
  <r>
    <n v="2247"/>
    <x v="34"/>
    <x v="0"/>
    <x v="14"/>
    <x v="2"/>
    <n v="96"/>
    <s v="Hawaii"/>
    <x v="2"/>
    <x v="17"/>
    <x v="3"/>
    <x v="24"/>
    <x v="1"/>
    <x v="5"/>
    <x v="1"/>
    <x v="1"/>
    <n v="39"/>
    <x v="3"/>
    <x v="6"/>
  </r>
  <r>
    <n v="2248"/>
    <x v="50"/>
    <x v="0"/>
    <x v="16"/>
    <x v="3"/>
    <n v="37"/>
    <s v="Florida"/>
    <x v="0"/>
    <x v="11"/>
    <x v="2"/>
    <x v="14"/>
    <x v="1"/>
    <x v="2"/>
    <x v="1"/>
    <x v="1"/>
    <n v="18"/>
    <x v="0"/>
    <x v="2"/>
  </r>
  <r>
    <n v="2249"/>
    <x v="6"/>
    <x v="0"/>
    <x v="17"/>
    <x v="0"/>
    <n v="66"/>
    <s v="Rhode Island"/>
    <x v="2"/>
    <x v="10"/>
    <x v="0"/>
    <x v="23"/>
    <x v="1"/>
    <x v="1"/>
    <x v="1"/>
    <x v="1"/>
    <n v="19"/>
    <x v="3"/>
    <x v="0"/>
  </r>
  <r>
    <n v="2250"/>
    <x v="32"/>
    <x v="0"/>
    <x v="24"/>
    <x v="3"/>
    <n v="45"/>
    <s v="Wyoming"/>
    <x v="3"/>
    <x v="21"/>
    <x v="1"/>
    <x v="24"/>
    <x v="1"/>
    <x v="2"/>
    <x v="1"/>
    <x v="1"/>
    <n v="29"/>
    <x v="5"/>
    <x v="1"/>
  </r>
  <r>
    <n v="2251"/>
    <x v="38"/>
    <x v="0"/>
    <x v="9"/>
    <x v="1"/>
    <n v="89"/>
    <s v="Colorado"/>
    <x v="0"/>
    <x v="6"/>
    <x v="2"/>
    <x v="12"/>
    <x v="1"/>
    <x v="5"/>
    <x v="1"/>
    <x v="1"/>
    <n v="19"/>
    <x v="2"/>
    <x v="1"/>
  </r>
  <r>
    <n v="2252"/>
    <x v="8"/>
    <x v="0"/>
    <x v="9"/>
    <x v="1"/>
    <n v="94"/>
    <s v="Virginia"/>
    <x v="0"/>
    <x v="9"/>
    <x v="3"/>
    <x v="22"/>
    <x v="1"/>
    <x v="1"/>
    <x v="1"/>
    <x v="1"/>
    <n v="22"/>
    <x v="5"/>
    <x v="5"/>
  </r>
  <r>
    <n v="2253"/>
    <x v="39"/>
    <x v="0"/>
    <x v="9"/>
    <x v="1"/>
    <n v="96"/>
    <s v="Nebraska"/>
    <x v="1"/>
    <x v="1"/>
    <x v="2"/>
    <x v="20"/>
    <x v="1"/>
    <x v="0"/>
    <x v="1"/>
    <x v="1"/>
    <n v="21"/>
    <x v="4"/>
    <x v="2"/>
  </r>
  <r>
    <n v="2254"/>
    <x v="46"/>
    <x v="0"/>
    <x v="15"/>
    <x v="0"/>
    <n v="31"/>
    <s v="Oklahoma"/>
    <x v="2"/>
    <x v="18"/>
    <x v="1"/>
    <x v="5"/>
    <x v="1"/>
    <x v="5"/>
    <x v="1"/>
    <x v="1"/>
    <n v="22"/>
    <x v="3"/>
    <x v="5"/>
  </r>
  <r>
    <n v="2255"/>
    <x v="41"/>
    <x v="0"/>
    <x v="22"/>
    <x v="3"/>
    <n v="79"/>
    <s v="North Dakota"/>
    <x v="2"/>
    <x v="9"/>
    <x v="0"/>
    <x v="19"/>
    <x v="1"/>
    <x v="5"/>
    <x v="1"/>
    <x v="1"/>
    <n v="44"/>
    <x v="3"/>
    <x v="6"/>
  </r>
  <r>
    <n v="2256"/>
    <x v="39"/>
    <x v="0"/>
    <x v="7"/>
    <x v="2"/>
    <n v="39"/>
    <s v="Michigan"/>
    <x v="0"/>
    <x v="11"/>
    <x v="1"/>
    <x v="12"/>
    <x v="1"/>
    <x v="5"/>
    <x v="1"/>
    <x v="1"/>
    <n v="42"/>
    <x v="4"/>
    <x v="3"/>
  </r>
  <r>
    <n v="2257"/>
    <x v="18"/>
    <x v="0"/>
    <x v="0"/>
    <x v="0"/>
    <n v="22"/>
    <s v="California"/>
    <x v="2"/>
    <x v="2"/>
    <x v="3"/>
    <x v="16"/>
    <x v="1"/>
    <x v="3"/>
    <x v="1"/>
    <x v="1"/>
    <n v="33"/>
    <x v="2"/>
    <x v="3"/>
  </r>
  <r>
    <n v="2258"/>
    <x v="38"/>
    <x v="0"/>
    <x v="11"/>
    <x v="0"/>
    <n v="32"/>
    <s v="Tennessee"/>
    <x v="0"/>
    <x v="8"/>
    <x v="3"/>
    <x v="19"/>
    <x v="1"/>
    <x v="3"/>
    <x v="1"/>
    <x v="1"/>
    <n v="6"/>
    <x v="4"/>
    <x v="2"/>
  </r>
  <r>
    <n v="2259"/>
    <x v="41"/>
    <x v="0"/>
    <x v="17"/>
    <x v="0"/>
    <n v="71"/>
    <s v="Ohio"/>
    <x v="0"/>
    <x v="17"/>
    <x v="0"/>
    <x v="24"/>
    <x v="1"/>
    <x v="5"/>
    <x v="1"/>
    <x v="1"/>
    <n v="44"/>
    <x v="2"/>
    <x v="6"/>
  </r>
  <r>
    <n v="2260"/>
    <x v="52"/>
    <x v="0"/>
    <x v="2"/>
    <x v="0"/>
    <n v="96"/>
    <s v="Florida"/>
    <x v="3"/>
    <x v="19"/>
    <x v="1"/>
    <x v="13"/>
    <x v="1"/>
    <x v="1"/>
    <x v="1"/>
    <x v="1"/>
    <n v="24"/>
    <x v="1"/>
    <x v="2"/>
  </r>
  <r>
    <n v="2261"/>
    <x v="21"/>
    <x v="0"/>
    <x v="18"/>
    <x v="3"/>
    <n v="82"/>
    <s v="Missouri"/>
    <x v="2"/>
    <x v="24"/>
    <x v="3"/>
    <x v="8"/>
    <x v="1"/>
    <x v="0"/>
    <x v="1"/>
    <x v="1"/>
    <n v="16"/>
    <x v="3"/>
    <x v="3"/>
  </r>
  <r>
    <n v="2262"/>
    <x v="44"/>
    <x v="0"/>
    <x v="21"/>
    <x v="3"/>
    <n v="76"/>
    <s v="South Carolina"/>
    <x v="0"/>
    <x v="9"/>
    <x v="1"/>
    <x v="14"/>
    <x v="1"/>
    <x v="3"/>
    <x v="1"/>
    <x v="1"/>
    <n v="12"/>
    <x v="4"/>
    <x v="0"/>
  </r>
  <r>
    <n v="2263"/>
    <x v="10"/>
    <x v="0"/>
    <x v="21"/>
    <x v="3"/>
    <n v="22"/>
    <s v="Arizona"/>
    <x v="2"/>
    <x v="14"/>
    <x v="0"/>
    <x v="0"/>
    <x v="1"/>
    <x v="4"/>
    <x v="1"/>
    <x v="1"/>
    <n v="50"/>
    <x v="3"/>
    <x v="5"/>
  </r>
  <r>
    <n v="2264"/>
    <x v="42"/>
    <x v="0"/>
    <x v="18"/>
    <x v="3"/>
    <n v="40"/>
    <s v="Indiana"/>
    <x v="3"/>
    <x v="14"/>
    <x v="0"/>
    <x v="1"/>
    <x v="1"/>
    <x v="5"/>
    <x v="1"/>
    <x v="1"/>
    <n v="42"/>
    <x v="1"/>
    <x v="3"/>
  </r>
  <r>
    <n v="2265"/>
    <x v="47"/>
    <x v="0"/>
    <x v="19"/>
    <x v="3"/>
    <n v="92"/>
    <s v="North Dakota"/>
    <x v="2"/>
    <x v="2"/>
    <x v="2"/>
    <x v="20"/>
    <x v="1"/>
    <x v="4"/>
    <x v="1"/>
    <x v="1"/>
    <n v="50"/>
    <x v="3"/>
    <x v="5"/>
  </r>
  <r>
    <n v="2266"/>
    <x v="24"/>
    <x v="0"/>
    <x v="7"/>
    <x v="2"/>
    <n v="94"/>
    <s v="Montana"/>
    <x v="3"/>
    <x v="22"/>
    <x v="3"/>
    <x v="20"/>
    <x v="1"/>
    <x v="5"/>
    <x v="1"/>
    <x v="1"/>
    <n v="10"/>
    <x v="3"/>
    <x v="3"/>
  </r>
  <r>
    <n v="2267"/>
    <x v="30"/>
    <x v="0"/>
    <x v="10"/>
    <x v="0"/>
    <n v="44"/>
    <s v="Missouri"/>
    <x v="2"/>
    <x v="22"/>
    <x v="3"/>
    <x v="24"/>
    <x v="1"/>
    <x v="5"/>
    <x v="1"/>
    <x v="1"/>
    <n v="32"/>
    <x v="5"/>
    <x v="1"/>
  </r>
  <r>
    <n v="2268"/>
    <x v="45"/>
    <x v="0"/>
    <x v="24"/>
    <x v="3"/>
    <n v="49"/>
    <s v="Kentucky"/>
    <x v="1"/>
    <x v="24"/>
    <x v="1"/>
    <x v="22"/>
    <x v="1"/>
    <x v="0"/>
    <x v="1"/>
    <x v="1"/>
    <n v="37"/>
    <x v="0"/>
    <x v="1"/>
  </r>
  <r>
    <n v="2269"/>
    <x v="17"/>
    <x v="0"/>
    <x v="1"/>
    <x v="0"/>
    <n v="26"/>
    <s v="Georgia"/>
    <x v="0"/>
    <x v="4"/>
    <x v="1"/>
    <x v="2"/>
    <x v="1"/>
    <x v="4"/>
    <x v="1"/>
    <x v="1"/>
    <n v="15"/>
    <x v="4"/>
    <x v="5"/>
  </r>
  <r>
    <n v="2270"/>
    <x v="34"/>
    <x v="0"/>
    <x v="11"/>
    <x v="0"/>
    <n v="38"/>
    <s v="Kentucky"/>
    <x v="2"/>
    <x v="22"/>
    <x v="3"/>
    <x v="14"/>
    <x v="1"/>
    <x v="5"/>
    <x v="1"/>
    <x v="1"/>
    <n v="27"/>
    <x v="2"/>
    <x v="2"/>
  </r>
  <r>
    <n v="2271"/>
    <x v="7"/>
    <x v="0"/>
    <x v="0"/>
    <x v="0"/>
    <n v="72"/>
    <s v="Georgia"/>
    <x v="0"/>
    <x v="7"/>
    <x v="1"/>
    <x v="1"/>
    <x v="1"/>
    <x v="0"/>
    <x v="1"/>
    <x v="1"/>
    <n v="7"/>
    <x v="0"/>
    <x v="1"/>
  </r>
  <r>
    <n v="2272"/>
    <x v="26"/>
    <x v="0"/>
    <x v="10"/>
    <x v="0"/>
    <n v="99"/>
    <s v="Alaska"/>
    <x v="2"/>
    <x v="14"/>
    <x v="2"/>
    <x v="23"/>
    <x v="1"/>
    <x v="1"/>
    <x v="1"/>
    <x v="1"/>
    <n v="49"/>
    <x v="3"/>
    <x v="3"/>
  </r>
  <r>
    <n v="2273"/>
    <x v="26"/>
    <x v="0"/>
    <x v="14"/>
    <x v="2"/>
    <n v="38"/>
    <s v="Maine"/>
    <x v="0"/>
    <x v="4"/>
    <x v="1"/>
    <x v="17"/>
    <x v="1"/>
    <x v="3"/>
    <x v="1"/>
    <x v="1"/>
    <n v="44"/>
    <x v="3"/>
    <x v="5"/>
  </r>
  <r>
    <n v="2274"/>
    <x v="0"/>
    <x v="0"/>
    <x v="7"/>
    <x v="2"/>
    <n v="96"/>
    <s v="New Mexico"/>
    <x v="0"/>
    <x v="5"/>
    <x v="0"/>
    <x v="6"/>
    <x v="1"/>
    <x v="0"/>
    <x v="1"/>
    <x v="1"/>
    <n v="13"/>
    <x v="3"/>
    <x v="4"/>
  </r>
  <r>
    <n v="2275"/>
    <x v="9"/>
    <x v="0"/>
    <x v="10"/>
    <x v="0"/>
    <n v="27"/>
    <s v="New York"/>
    <x v="0"/>
    <x v="2"/>
    <x v="1"/>
    <x v="9"/>
    <x v="1"/>
    <x v="2"/>
    <x v="1"/>
    <x v="1"/>
    <n v="38"/>
    <x v="3"/>
    <x v="0"/>
  </r>
  <r>
    <n v="2276"/>
    <x v="26"/>
    <x v="0"/>
    <x v="6"/>
    <x v="0"/>
    <n v="24"/>
    <s v="Oklahoma"/>
    <x v="2"/>
    <x v="0"/>
    <x v="0"/>
    <x v="14"/>
    <x v="1"/>
    <x v="3"/>
    <x v="1"/>
    <x v="1"/>
    <n v="10"/>
    <x v="5"/>
    <x v="1"/>
  </r>
  <r>
    <n v="2277"/>
    <x v="18"/>
    <x v="0"/>
    <x v="2"/>
    <x v="0"/>
    <n v="82"/>
    <s v="Wyoming"/>
    <x v="0"/>
    <x v="16"/>
    <x v="2"/>
    <x v="7"/>
    <x v="1"/>
    <x v="4"/>
    <x v="1"/>
    <x v="1"/>
    <n v="25"/>
    <x v="5"/>
    <x v="1"/>
  </r>
  <r>
    <n v="2278"/>
    <x v="15"/>
    <x v="0"/>
    <x v="19"/>
    <x v="3"/>
    <n v="56"/>
    <s v="Alabama"/>
    <x v="2"/>
    <x v="19"/>
    <x v="2"/>
    <x v="12"/>
    <x v="1"/>
    <x v="2"/>
    <x v="1"/>
    <x v="1"/>
    <n v="18"/>
    <x v="2"/>
    <x v="3"/>
  </r>
  <r>
    <n v="2279"/>
    <x v="12"/>
    <x v="0"/>
    <x v="24"/>
    <x v="3"/>
    <n v="25"/>
    <s v="Maryland"/>
    <x v="2"/>
    <x v="1"/>
    <x v="3"/>
    <x v="22"/>
    <x v="1"/>
    <x v="5"/>
    <x v="1"/>
    <x v="1"/>
    <n v="6"/>
    <x v="1"/>
    <x v="6"/>
  </r>
  <r>
    <n v="2280"/>
    <x v="10"/>
    <x v="0"/>
    <x v="4"/>
    <x v="1"/>
    <n v="67"/>
    <s v="West Virginia"/>
    <x v="0"/>
    <x v="21"/>
    <x v="1"/>
    <x v="3"/>
    <x v="1"/>
    <x v="1"/>
    <x v="1"/>
    <x v="1"/>
    <n v="35"/>
    <x v="4"/>
    <x v="3"/>
  </r>
  <r>
    <n v="2281"/>
    <x v="40"/>
    <x v="0"/>
    <x v="9"/>
    <x v="1"/>
    <n v="21"/>
    <s v="Kentucky"/>
    <x v="2"/>
    <x v="16"/>
    <x v="2"/>
    <x v="11"/>
    <x v="1"/>
    <x v="3"/>
    <x v="1"/>
    <x v="1"/>
    <n v="31"/>
    <x v="2"/>
    <x v="0"/>
  </r>
  <r>
    <n v="2282"/>
    <x v="48"/>
    <x v="0"/>
    <x v="15"/>
    <x v="0"/>
    <n v="27"/>
    <s v="Kansas"/>
    <x v="3"/>
    <x v="1"/>
    <x v="2"/>
    <x v="21"/>
    <x v="1"/>
    <x v="5"/>
    <x v="1"/>
    <x v="1"/>
    <n v="41"/>
    <x v="4"/>
    <x v="2"/>
  </r>
  <r>
    <n v="2283"/>
    <x v="20"/>
    <x v="0"/>
    <x v="4"/>
    <x v="1"/>
    <n v="97"/>
    <s v="Idaho"/>
    <x v="1"/>
    <x v="16"/>
    <x v="3"/>
    <x v="19"/>
    <x v="1"/>
    <x v="4"/>
    <x v="1"/>
    <x v="1"/>
    <n v="8"/>
    <x v="2"/>
    <x v="2"/>
  </r>
  <r>
    <n v="2284"/>
    <x v="42"/>
    <x v="0"/>
    <x v="8"/>
    <x v="3"/>
    <n v="45"/>
    <s v="Ohio"/>
    <x v="1"/>
    <x v="13"/>
    <x v="0"/>
    <x v="7"/>
    <x v="1"/>
    <x v="1"/>
    <x v="1"/>
    <x v="1"/>
    <n v="34"/>
    <x v="2"/>
    <x v="0"/>
  </r>
  <r>
    <n v="2285"/>
    <x v="45"/>
    <x v="0"/>
    <x v="0"/>
    <x v="0"/>
    <n v="63"/>
    <s v="Iowa"/>
    <x v="3"/>
    <x v="13"/>
    <x v="3"/>
    <x v="7"/>
    <x v="1"/>
    <x v="0"/>
    <x v="1"/>
    <x v="1"/>
    <n v="20"/>
    <x v="0"/>
    <x v="2"/>
  </r>
  <r>
    <n v="2286"/>
    <x v="50"/>
    <x v="0"/>
    <x v="22"/>
    <x v="3"/>
    <n v="100"/>
    <s v="Michigan"/>
    <x v="0"/>
    <x v="6"/>
    <x v="2"/>
    <x v="12"/>
    <x v="1"/>
    <x v="4"/>
    <x v="1"/>
    <x v="1"/>
    <n v="38"/>
    <x v="3"/>
    <x v="6"/>
  </r>
  <r>
    <n v="2287"/>
    <x v="29"/>
    <x v="0"/>
    <x v="20"/>
    <x v="0"/>
    <n v="38"/>
    <s v="South Dakota"/>
    <x v="0"/>
    <x v="24"/>
    <x v="1"/>
    <x v="25"/>
    <x v="1"/>
    <x v="5"/>
    <x v="1"/>
    <x v="1"/>
    <n v="35"/>
    <x v="0"/>
    <x v="3"/>
  </r>
  <r>
    <n v="2288"/>
    <x v="17"/>
    <x v="0"/>
    <x v="0"/>
    <x v="0"/>
    <n v="45"/>
    <s v="Nebraska"/>
    <x v="0"/>
    <x v="14"/>
    <x v="2"/>
    <x v="21"/>
    <x v="1"/>
    <x v="5"/>
    <x v="1"/>
    <x v="1"/>
    <n v="6"/>
    <x v="5"/>
    <x v="2"/>
  </r>
  <r>
    <n v="2289"/>
    <x v="48"/>
    <x v="0"/>
    <x v="16"/>
    <x v="3"/>
    <n v="91"/>
    <s v="California"/>
    <x v="2"/>
    <x v="20"/>
    <x v="3"/>
    <x v="22"/>
    <x v="1"/>
    <x v="2"/>
    <x v="1"/>
    <x v="1"/>
    <n v="50"/>
    <x v="3"/>
    <x v="1"/>
  </r>
  <r>
    <n v="2290"/>
    <x v="27"/>
    <x v="0"/>
    <x v="6"/>
    <x v="0"/>
    <n v="82"/>
    <s v="Nevada"/>
    <x v="2"/>
    <x v="20"/>
    <x v="3"/>
    <x v="7"/>
    <x v="1"/>
    <x v="1"/>
    <x v="1"/>
    <x v="1"/>
    <n v="47"/>
    <x v="0"/>
    <x v="1"/>
  </r>
  <r>
    <n v="2291"/>
    <x v="43"/>
    <x v="0"/>
    <x v="23"/>
    <x v="1"/>
    <n v="48"/>
    <s v="Kansas"/>
    <x v="0"/>
    <x v="23"/>
    <x v="0"/>
    <x v="13"/>
    <x v="1"/>
    <x v="3"/>
    <x v="1"/>
    <x v="1"/>
    <n v="23"/>
    <x v="3"/>
    <x v="3"/>
  </r>
  <r>
    <n v="2292"/>
    <x v="48"/>
    <x v="0"/>
    <x v="7"/>
    <x v="2"/>
    <n v="30"/>
    <s v="Ohio"/>
    <x v="2"/>
    <x v="21"/>
    <x v="1"/>
    <x v="16"/>
    <x v="1"/>
    <x v="4"/>
    <x v="1"/>
    <x v="1"/>
    <n v="13"/>
    <x v="2"/>
    <x v="3"/>
  </r>
  <r>
    <n v="2293"/>
    <x v="49"/>
    <x v="0"/>
    <x v="17"/>
    <x v="0"/>
    <n v="34"/>
    <s v="Vermont"/>
    <x v="1"/>
    <x v="19"/>
    <x v="1"/>
    <x v="22"/>
    <x v="1"/>
    <x v="2"/>
    <x v="1"/>
    <x v="1"/>
    <n v="31"/>
    <x v="5"/>
    <x v="5"/>
  </r>
  <r>
    <n v="2294"/>
    <x v="43"/>
    <x v="0"/>
    <x v="1"/>
    <x v="0"/>
    <n v="68"/>
    <s v="Georgia"/>
    <x v="0"/>
    <x v="14"/>
    <x v="3"/>
    <x v="13"/>
    <x v="1"/>
    <x v="0"/>
    <x v="1"/>
    <x v="1"/>
    <n v="16"/>
    <x v="5"/>
    <x v="6"/>
  </r>
  <r>
    <n v="2295"/>
    <x v="22"/>
    <x v="0"/>
    <x v="12"/>
    <x v="3"/>
    <n v="95"/>
    <s v="Maryland"/>
    <x v="2"/>
    <x v="16"/>
    <x v="0"/>
    <x v="16"/>
    <x v="1"/>
    <x v="0"/>
    <x v="1"/>
    <x v="1"/>
    <n v="40"/>
    <x v="5"/>
    <x v="2"/>
  </r>
  <r>
    <n v="2296"/>
    <x v="2"/>
    <x v="0"/>
    <x v="19"/>
    <x v="3"/>
    <n v="22"/>
    <s v="Connecticut"/>
    <x v="0"/>
    <x v="19"/>
    <x v="1"/>
    <x v="3"/>
    <x v="1"/>
    <x v="4"/>
    <x v="1"/>
    <x v="1"/>
    <n v="45"/>
    <x v="3"/>
    <x v="3"/>
  </r>
  <r>
    <n v="2297"/>
    <x v="5"/>
    <x v="0"/>
    <x v="24"/>
    <x v="3"/>
    <n v="88"/>
    <s v="Washington"/>
    <x v="2"/>
    <x v="14"/>
    <x v="3"/>
    <x v="25"/>
    <x v="1"/>
    <x v="2"/>
    <x v="1"/>
    <x v="1"/>
    <n v="50"/>
    <x v="0"/>
    <x v="6"/>
  </r>
  <r>
    <n v="2298"/>
    <x v="52"/>
    <x v="0"/>
    <x v="20"/>
    <x v="0"/>
    <n v="83"/>
    <s v="California"/>
    <x v="2"/>
    <x v="20"/>
    <x v="2"/>
    <x v="10"/>
    <x v="1"/>
    <x v="3"/>
    <x v="1"/>
    <x v="1"/>
    <n v="1"/>
    <x v="4"/>
    <x v="3"/>
  </r>
  <r>
    <n v="2299"/>
    <x v="37"/>
    <x v="0"/>
    <x v="8"/>
    <x v="3"/>
    <n v="87"/>
    <s v="Montana"/>
    <x v="0"/>
    <x v="17"/>
    <x v="1"/>
    <x v="3"/>
    <x v="1"/>
    <x v="4"/>
    <x v="1"/>
    <x v="1"/>
    <n v="10"/>
    <x v="1"/>
    <x v="6"/>
  </r>
  <r>
    <n v="2300"/>
    <x v="14"/>
    <x v="0"/>
    <x v="7"/>
    <x v="2"/>
    <n v="57"/>
    <s v="Idaho"/>
    <x v="2"/>
    <x v="10"/>
    <x v="2"/>
    <x v="18"/>
    <x v="1"/>
    <x v="5"/>
    <x v="1"/>
    <x v="1"/>
    <n v="48"/>
    <x v="2"/>
    <x v="6"/>
  </r>
  <r>
    <n v="2301"/>
    <x v="20"/>
    <x v="0"/>
    <x v="7"/>
    <x v="2"/>
    <n v="88"/>
    <s v="Pennsylvania"/>
    <x v="3"/>
    <x v="12"/>
    <x v="2"/>
    <x v="14"/>
    <x v="1"/>
    <x v="4"/>
    <x v="1"/>
    <x v="1"/>
    <n v="38"/>
    <x v="2"/>
    <x v="5"/>
  </r>
  <r>
    <n v="2302"/>
    <x v="43"/>
    <x v="0"/>
    <x v="13"/>
    <x v="0"/>
    <n v="20"/>
    <s v="Maine"/>
    <x v="0"/>
    <x v="2"/>
    <x v="0"/>
    <x v="3"/>
    <x v="1"/>
    <x v="2"/>
    <x v="1"/>
    <x v="1"/>
    <n v="21"/>
    <x v="5"/>
    <x v="2"/>
  </r>
  <r>
    <n v="2303"/>
    <x v="24"/>
    <x v="0"/>
    <x v="22"/>
    <x v="3"/>
    <n v="39"/>
    <s v="Montana"/>
    <x v="0"/>
    <x v="6"/>
    <x v="2"/>
    <x v="15"/>
    <x v="1"/>
    <x v="5"/>
    <x v="1"/>
    <x v="1"/>
    <n v="38"/>
    <x v="0"/>
    <x v="5"/>
  </r>
  <r>
    <n v="2304"/>
    <x v="47"/>
    <x v="0"/>
    <x v="12"/>
    <x v="3"/>
    <n v="71"/>
    <s v="New Jersey"/>
    <x v="1"/>
    <x v="19"/>
    <x v="1"/>
    <x v="6"/>
    <x v="1"/>
    <x v="4"/>
    <x v="1"/>
    <x v="1"/>
    <n v="31"/>
    <x v="2"/>
    <x v="0"/>
  </r>
  <r>
    <n v="2305"/>
    <x v="8"/>
    <x v="0"/>
    <x v="15"/>
    <x v="0"/>
    <n v="73"/>
    <s v="Louisiana"/>
    <x v="0"/>
    <x v="5"/>
    <x v="0"/>
    <x v="10"/>
    <x v="1"/>
    <x v="1"/>
    <x v="1"/>
    <x v="1"/>
    <n v="9"/>
    <x v="5"/>
    <x v="0"/>
  </r>
  <r>
    <n v="2306"/>
    <x v="33"/>
    <x v="0"/>
    <x v="8"/>
    <x v="3"/>
    <n v="63"/>
    <s v="Maine"/>
    <x v="2"/>
    <x v="9"/>
    <x v="2"/>
    <x v="5"/>
    <x v="1"/>
    <x v="1"/>
    <x v="1"/>
    <x v="1"/>
    <n v="47"/>
    <x v="1"/>
    <x v="1"/>
  </r>
  <r>
    <n v="2307"/>
    <x v="7"/>
    <x v="0"/>
    <x v="24"/>
    <x v="3"/>
    <n v="78"/>
    <s v="Florida"/>
    <x v="0"/>
    <x v="5"/>
    <x v="0"/>
    <x v="23"/>
    <x v="1"/>
    <x v="3"/>
    <x v="1"/>
    <x v="1"/>
    <n v="8"/>
    <x v="1"/>
    <x v="4"/>
  </r>
  <r>
    <n v="2308"/>
    <x v="48"/>
    <x v="0"/>
    <x v="11"/>
    <x v="0"/>
    <n v="96"/>
    <s v="Missouri"/>
    <x v="0"/>
    <x v="14"/>
    <x v="3"/>
    <x v="1"/>
    <x v="1"/>
    <x v="2"/>
    <x v="1"/>
    <x v="1"/>
    <n v="30"/>
    <x v="5"/>
    <x v="2"/>
  </r>
  <r>
    <n v="2309"/>
    <x v="34"/>
    <x v="0"/>
    <x v="12"/>
    <x v="3"/>
    <n v="81"/>
    <s v="North Dakota"/>
    <x v="2"/>
    <x v="11"/>
    <x v="0"/>
    <x v="23"/>
    <x v="1"/>
    <x v="4"/>
    <x v="1"/>
    <x v="1"/>
    <n v="22"/>
    <x v="4"/>
    <x v="3"/>
  </r>
  <r>
    <n v="2310"/>
    <x v="27"/>
    <x v="0"/>
    <x v="10"/>
    <x v="0"/>
    <n v="95"/>
    <s v="Connecticut"/>
    <x v="1"/>
    <x v="9"/>
    <x v="3"/>
    <x v="16"/>
    <x v="1"/>
    <x v="4"/>
    <x v="1"/>
    <x v="1"/>
    <n v="3"/>
    <x v="4"/>
    <x v="3"/>
  </r>
  <r>
    <n v="2311"/>
    <x v="11"/>
    <x v="0"/>
    <x v="24"/>
    <x v="3"/>
    <n v="68"/>
    <s v="Virginia"/>
    <x v="2"/>
    <x v="17"/>
    <x v="1"/>
    <x v="12"/>
    <x v="1"/>
    <x v="3"/>
    <x v="1"/>
    <x v="1"/>
    <n v="15"/>
    <x v="3"/>
    <x v="5"/>
  </r>
  <r>
    <n v="2312"/>
    <x v="7"/>
    <x v="0"/>
    <x v="4"/>
    <x v="1"/>
    <n v="28"/>
    <s v="Montana"/>
    <x v="0"/>
    <x v="9"/>
    <x v="1"/>
    <x v="6"/>
    <x v="1"/>
    <x v="4"/>
    <x v="1"/>
    <x v="1"/>
    <n v="10"/>
    <x v="4"/>
    <x v="6"/>
  </r>
  <r>
    <n v="2313"/>
    <x v="1"/>
    <x v="0"/>
    <x v="17"/>
    <x v="0"/>
    <n v="30"/>
    <s v="Vermont"/>
    <x v="0"/>
    <x v="10"/>
    <x v="2"/>
    <x v="18"/>
    <x v="1"/>
    <x v="1"/>
    <x v="1"/>
    <x v="1"/>
    <n v="19"/>
    <x v="1"/>
    <x v="6"/>
  </r>
  <r>
    <n v="2314"/>
    <x v="14"/>
    <x v="0"/>
    <x v="10"/>
    <x v="0"/>
    <n v="31"/>
    <s v="Georgia"/>
    <x v="2"/>
    <x v="13"/>
    <x v="2"/>
    <x v="10"/>
    <x v="1"/>
    <x v="2"/>
    <x v="1"/>
    <x v="1"/>
    <n v="36"/>
    <x v="4"/>
    <x v="0"/>
  </r>
  <r>
    <n v="2315"/>
    <x v="32"/>
    <x v="0"/>
    <x v="8"/>
    <x v="3"/>
    <n v="95"/>
    <s v="Virginia"/>
    <x v="3"/>
    <x v="18"/>
    <x v="0"/>
    <x v="14"/>
    <x v="1"/>
    <x v="0"/>
    <x v="1"/>
    <x v="1"/>
    <n v="12"/>
    <x v="4"/>
    <x v="6"/>
  </r>
  <r>
    <n v="2316"/>
    <x v="28"/>
    <x v="0"/>
    <x v="20"/>
    <x v="0"/>
    <n v="79"/>
    <s v="Vermont"/>
    <x v="2"/>
    <x v="21"/>
    <x v="0"/>
    <x v="1"/>
    <x v="1"/>
    <x v="4"/>
    <x v="1"/>
    <x v="1"/>
    <n v="49"/>
    <x v="5"/>
    <x v="3"/>
  </r>
  <r>
    <n v="2317"/>
    <x v="48"/>
    <x v="0"/>
    <x v="4"/>
    <x v="1"/>
    <n v="39"/>
    <s v="Montana"/>
    <x v="0"/>
    <x v="22"/>
    <x v="0"/>
    <x v="22"/>
    <x v="1"/>
    <x v="3"/>
    <x v="1"/>
    <x v="1"/>
    <n v="7"/>
    <x v="5"/>
    <x v="2"/>
  </r>
  <r>
    <n v="2318"/>
    <x v="36"/>
    <x v="0"/>
    <x v="14"/>
    <x v="2"/>
    <n v="34"/>
    <s v="New Jersey"/>
    <x v="2"/>
    <x v="7"/>
    <x v="2"/>
    <x v="10"/>
    <x v="1"/>
    <x v="2"/>
    <x v="1"/>
    <x v="1"/>
    <n v="28"/>
    <x v="4"/>
    <x v="5"/>
  </r>
  <r>
    <n v="2319"/>
    <x v="28"/>
    <x v="0"/>
    <x v="15"/>
    <x v="0"/>
    <n v="28"/>
    <s v="Wyoming"/>
    <x v="0"/>
    <x v="3"/>
    <x v="1"/>
    <x v="0"/>
    <x v="1"/>
    <x v="5"/>
    <x v="1"/>
    <x v="1"/>
    <n v="30"/>
    <x v="2"/>
    <x v="2"/>
  </r>
  <r>
    <n v="2320"/>
    <x v="19"/>
    <x v="0"/>
    <x v="3"/>
    <x v="1"/>
    <n v="38"/>
    <s v="Maine"/>
    <x v="3"/>
    <x v="2"/>
    <x v="0"/>
    <x v="16"/>
    <x v="1"/>
    <x v="1"/>
    <x v="1"/>
    <x v="1"/>
    <n v="29"/>
    <x v="3"/>
    <x v="5"/>
  </r>
  <r>
    <n v="2321"/>
    <x v="48"/>
    <x v="0"/>
    <x v="9"/>
    <x v="1"/>
    <n v="55"/>
    <s v="New Mexico"/>
    <x v="2"/>
    <x v="8"/>
    <x v="1"/>
    <x v="18"/>
    <x v="1"/>
    <x v="1"/>
    <x v="1"/>
    <x v="1"/>
    <n v="9"/>
    <x v="5"/>
    <x v="6"/>
  </r>
  <r>
    <n v="2322"/>
    <x v="2"/>
    <x v="0"/>
    <x v="3"/>
    <x v="1"/>
    <n v="31"/>
    <s v="Colorado"/>
    <x v="2"/>
    <x v="19"/>
    <x v="0"/>
    <x v="21"/>
    <x v="1"/>
    <x v="2"/>
    <x v="1"/>
    <x v="1"/>
    <n v="27"/>
    <x v="5"/>
    <x v="0"/>
  </r>
  <r>
    <n v="2323"/>
    <x v="31"/>
    <x v="0"/>
    <x v="7"/>
    <x v="2"/>
    <n v="84"/>
    <s v="Connecticut"/>
    <x v="1"/>
    <x v="12"/>
    <x v="1"/>
    <x v="9"/>
    <x v="1"/>
    <x v="5"/>
    <x v="1"/>
    <x v="1"/>
    <n v="21"/>
    <x v="0"/>
    <x v="0"/>
  </r>
  <r>
    <n v="2324"/>
    <x v="25"/>
    <x v="0"/>
    <x v="24"/>
    <x v="3"/>
    <n v="93"/>
    <s v="Maryland"/>
    <x v="0"/>
    <x v="3"/>
    <x v="0"/>
    <x v="10"/>
    <x v="1"/>
    <x v="0"/>
    <x v="1"/>
    <x v="1"/>
    <n v="36"/>
    <x v="2"/>
    <x v="5"/>
  </r>
  <r>
    <n v="2325"/>
    <x v="35"/>
    <x v="0"/>
    <x v="7"/>
    <x v="2"/>
    <n v="28"/>
    <s v="Oregon"/>
    <x v="0"/>
    <x v="18"/>
    <x v="0"/>
    <x v="1"/>
    <x v="1"/>
    <x v="1"/>
    <x v="1"/>
    <x v="1"/>
    <n v="19"/>
    <x v="5"/>
    <x v="2"/>
  </r>
  <r>
    <n v="2326"/>
    <x v="42"/>
    <x v="0"/>
    <x v="23"/>
    <x v="1"/>
    <n v="55"/>
    <s v="New York"/>
    <x v="2"/>
    <x v="4"/>
    <x v="2"/>
    <x v="14"/>
    <x v="1"/>
    <x v="4"/>
    <x v="1"/>
    <x v="1"/>
    <n v="47"/>
    <x v="1"/>
    <x v="1"/>
  </r>
  <r>
    <n v="2327"/>
    <x v="17"/>
    <x v="0"/>
    <x v="11"/>
    <x v="0"/>
    <n v="63"/>
    <s v="Oklahoma"/>
    <x v="0"/>
    <x v="1"/>
    <x v="0"/>
    <x v="5"/>
    <x v="1"/>
    <x v="3"/>
    <x v="1"/>
    <x v="1"/>
    <n v="38"/>
    <x v="4"/>
    <x v="2"/>
  </r>
  <r>
    <n v="2328"/>
    <x v="30"/>
    <x v="0"/>
    <x v="11"/>
    <x v="0"/>
    <n v="94"/>
    <s v="Alabama"/>
    <x v="2"/>
    <x v="16"/>
    <x v="0"/>
    <x v="19"/>
    <x v="1"/>
    <x v="4"/>
    <x v="1"/>
    <x v="1"/>
    <n v="22"/>
    <x v="0"/>
    <x v="4"/>
  </r>
  <r>
    <n v="2329"/>
    <x v="4"/>
    <x v="0"/>
    <x v="13"/>
    <x v="0"/>
    <n v="36"/>
    <s v="North Dakota"/>
    <x v="2"/>
    <x v="1"/>
    <x v="3"/>
    <x v="5"/>
    <x v="1"/>
    <x v="0"/>
    <x v="1"/>
    <x v="1"/>
    <n v="29"/>
    <x v="0"/>
    <x v="4"/>
  </r>
  <r>
    <n v="2330"/>
    <x v="34"/>
    <x v="0"/>
    <x v="19"/>
    <x v="3"/>
    <n v="97"/>
    <s v="Nebraska"/>
    <x v="1"/>
    <x v="11"/>
    <x v="1"/>
    <x v="6"/>
    <x v="1"/>
    <x v="1"/>
    <x v="1"/>
    <x v="1"/>
    <n v="42"/>
    <x v="4"/>
    <x v="2"/>
  </r>
  <r>
    <n v="2331"/>
    <x v="52"/>
    <x v="0"/>
    <x v="21"/>
    <x v="3"/>
    <n v="63"/>
    <s v="Arizona"/>
    <x v="0"/>
    <x v="20"/>
    <x v="2"/>
    <x v="3"/>
    <x v="1"/>
    <x v="5"/>
    <x v="1"/>
    <x v="1"/>
    <n v="47"/>
    <x v="3"/>
    <x v="6"/>
  </r>
  <r>
    <n v="2332"/>
    <x v="12"/>
    <x v="0"/>
    <x v="18"/>
    <x v="3"/>
    <n v="77"/>
    <s v="Illinois"/>
    <x v="1"/>
    <x v="8"/>
    <x v="1"/>
    <x v="24"/>
    <x v="1"/>
    <x v="4"/>
    <x v="1"/>
    <x v="1"/>
    <n v="10"/>
    <x v="2"/>
    <x v="4"/>
  </r>
  <r>
    <n v="2333"/>
    <x v="24"/>
    <x v="0"/>
    <x v="18"/>
    <x v="3"/>
    <n v="53"/>
    <s v="South Carolina"/>
    <x v="3"/>
    <x v="8"/>
    <x v="3"/>
    <x v="5"/>
    <x v="1"/>
    <x v="5"/>
    <x v="1"/>
    <x v="1"/>
    <n v="10"/>
    <x v="0"/>
    <x v="5"/>
  </r>
  <r>
    <n v="2334"/>
    <x v="23"/>
    <x v="0"/>
    <x v="5"/>
    <x v="0"/>
    <n v="77"/>
    <s v="Kansas"/>
    <x v="2"/>
    <x v="19"/>
    <x v="1"/>
    <x v="22"/>
    <x v="1"/>
    <x v="2"/>
    <x v="1"/>
    <x v="1"/>
    <n v="1"/>
    <x v="3"/>
    <x v="6"/>
  </r>
  <r>
    <n v="2335"/>
    <x v="34"/>
    <x v="0"/>
    <x v="23"/>
    <x v="1"/>
    <n v="79"/>
    <s v="Kansas"/>
    <x v="0"/>
    <x v="14"/>
    <x v="2"/>
    <x v="19"/>
    <x v="1"/>
    <x v="3"/>
    <x v="1"/>
    <x v="1"/>
    <n v="7"/>
    <x v="2"/>
    <x v="5"/>
  </r>
  <r>
    <n v="2336"/>
    <x v="18"/>
    <x v="0"/>
    <x v="7"/>
    <x v="2"/>
    <n v="37"/>
    <s v="Idaho"/>
    <x v="2"/>
    <x v="13"/>
    <x v="2"/>
    <x v="20"/>
    <x v="1"/>
    <x v="5"/>
    <x v="1"/>
    <x v="1"/>
    <n v="10"/>
    <x v="0"/>
    <x v="0"/>
  </r>
  <r>
    <n v="2337"/>
    <x v="1"/>
    <x v="0"/>
    <x v="22"/>
    <x v="3"/>
    <n v="94"/>
    <s v="California"/>
    <x v="2"/>
    <x v="14"/>
    <x v="0"/>
    <x v="0"/>
    <x v="1"/>
    <x v="1"/>
    <x v="1"/>
    <x v="1"/>
    <n v="11"/>
    <x v="2"/>
    <x v="1"/>
  </r>
  <r>
    <n v="2338"/>
    <x v="31"/>
    <x v="0"/>
    <x v="23"/>
    <x v="1"/>
    <n v="76"/>
    <s v="North Dakota"/>
    <x v="1"/>
    <x v="10"/>
    <x v="3"/>
    <x v="15"/>
    <x v="1"/>
    <x v="5"/>
    <x v="1"/>
    <x v="1"/>
    <n v="5"/>
    <x v="1"/>
    <x v="2"/>
  </r>
  <r>
    <n v="2339"/>
    <x v="17"/>
    <x v="0"/>
    <x v="4"/>
    <x v="1"/>
    <n v="68"/>
    <s v="Georgia"/>
    <x v="1"/>
    <x v="5"/>
    <x v="3"/>
    <x v="17"/>
    <x v="1"/>
    <x v="0"/>
    <x v="1"/>
    <x v="1"/>
    <n v="21"/>
    <x v="3"/>
    <x v="3"/>
  </r>
  <r>
    <n v="2340"/>
    <x v="15"/>
    <x v="0"/>
    <x v="5"/>
    <x v="0"/>
    <n v="65"/>
    <s v="Illinois"/>
    <x v="0"/>
    <x v="1"/>
    <x v="1"/>
    <x v="23"/>
    <x v="1"/>
    <x v="2"/>
    <x v="1"/>
    <x v="1"/>
    <n v="24"/>
    <x v="4"/>
    <x v="3"/>
  </r>
  <r>
    <n v="2341"/>
    <x v="6"/>
    <x v="0"/>
    <x v="0"/>
    <x v="0"/>
    <n v="24"/>
    <s v="Delaware"/>
    <x v="2"/>
    <x v="17"/>
    <x v="2"/>
    <x v="5"/>
    <x v="1"/>
    <x v="3"/>
    <x v="1"/>
    <x v="1"/>
    <n v="37"/>
    <x v="2"/>
    <x v="0"/>
  </r>
  <r>
    <n v="2342"/>
    <x v="19"/>
    <x v="0"/>
    <x v="14"/>
    <x v="2"/>
    <n v="31"/>
    <s v="Connecticut"/>
    <x v="0"/>
    <x v="11"/>
    <x v="2"/>
    <x v="9"/>
    <x v="1"/>
    <x v="0"/>
    <x v="1"/>
    <x v="1"/>
    <n v="22"/>
    <x v="0"/>
    <x v="6"/>
  </r>
  <r>
    <n v="2343"/>
    <x v="30"/>
    <x v="0"/>
    <x v="11"/>
    <x v="0"/>
    <n v="89"/>
    <s v="Tennessee"/>
    <x v="2"/>
    <x v="8"/>
    <x v="3"/>
    <x v="8"/>
    <x v="1"/>
    <x v="3"/>
    <x v="1"/>
    <x v="1"/>
    <n v="16"/>
    <x v="5"/>
    <x v="0"/>
  </r>
  <r>
    <n v="2344"/>
    <x v="44"/>
    <x v="0"/>
    <x v="20"/>
    <x v="0"/>
    <n v="49"/>
    <s v="Maryland"/>
    <x v="2"/>
    <x v="16"/>
    <x v="2"/>
    <x v="14"/>
    <x v="1"/>
    <x v="4"/>
    <x v="1"/>
    <x v="1"/>
    <n v="44"/>
    <x v="3"/>
    <x v="5"/>
  </r>
  <r>
    <n v="2345"/>
    <x v="50"/>
    <x v="0"/>
    <x v="3"/>
    <x v="1"/>
    <n v="92"/>
    <s v="Rhode Island"/>
    <x v="3"/>
    <x v="12"/>
    <x v="3"/>
    <x v="1"/>
    <x v="1"/>
    <x v="0"/>
    <x v="1"/>
    <x v="1"/>
    <n v="14"/>
    <x v="0"/>
    <x v="4"/>
  </r>
  <r>
    <n v="2346"/>
    <x v="48"/>
    <x v="0"/>
    <x v="17"/>
    <x v="0"/>
    <n v="32"/>
    <s v="New York"/>
    <x v="1"/>
    <x v="20"/>
    <x v="0"/>
    <x v="13"/>
    <x v="1"/>
    <x v="0"/>
    <x v="1"/>
    <x v="1"/>
    <n v="23"/>
    <x v="4"/>
    <x v="6"/>
  </r>
  <r>
    <n v="2347"/>
    <x v="40"/>
    <x v="0"/>
    <x v="14"/>
    <x v="2"/>
    <n v="67"/>
    <s v="New Mexico"/>
    <x v="0"/>
    <x v="18"/>
    <x v="0"/>
    <x v="0"/>
    <x v="1"/>
    <x v="3"/>
    <x v="1"/>
    <x v="1"/>
    <n v="46"/>
    <x v="5"/>
    <x v="0"/>
  </r>
  <r>
    <n v="2348"/>
    <x v="43"/>
    <x v="0"/>
    <x v="22"/>
    <x v="3"/>
    <n v="64"/>
    <s v="California"/>
    <x v="1"/>
    <x v="0"/>
    <x v="3"/>
    <x v="19"/>
    <x v="1"/>
    <x v="0"/>
    <x v="1"/>
    <x v="1"/>
    <n v="46"/>
    <x v="1"/>
    <x v="6"/>
  </r>
  <r>
    <n v="2349"/>
    <x v="22"/>
    <x v="0"/>
    <x v="9"/>
    <x v="1"/>
    <n v="84"/>
    <s v="Maine"/>
    <x v="2"/>
    <x v="20"/>
    <x v="1"/>
    <x v="8"/>
    <x v="1"/>
    <x v="2"/>
    <x v="1"/>
    <x v="1"/>
    <n v="16"/>
    <x v="3"/>
    <x v="6"/>
  </r>
  <r>
    <n v="2350"/>
    <x v="13"/>
    <x v="0"/>
    <x v="0"/>
    <x v="0"/>
    <n v="34"/>
    <s v="New York"/>
    <x v="2"/>
    <x v="20"/>
    <x v="3"/>
    <x v="20"/>
    <x v="1"/>
    <x v="3"/>
    <x v="1"/>
    <x v="1"/>
    <n v="40"/>
    <x v="2"/>
    <x v="6"/>
  </r>
  <r>
    <n v="2351"/>
    <x v="9"/>
    <x v="0"/>
    <x v="9"/>
    <x v="1"/>
    <n v="26"/>
    <s v="Hawaii"/>
    <x v="2"/>
    <x v="2"/>
    <x v="0"/>
    <x v="19"/>
    <x v="1"/>
    <x v="1"/>
    <x v="1"/>
    <x v="1"/>
    <n v="21"/>
    <x v="1"/>
    <x v="2"/>
  </r>
  <r>
    <n v="2352"/>
    <x v="21"/>
    <x v="0"/>
    <x v="1"/>
    <x v="0"/>
    <n v="50"/>
    <s v="New Hampshire"/>
    <x v="1"/>
    <x v="17"/>
    <x v="3"/>
    <x v="8"/>
    <x v="1"/>
    <x v="5"/>
    <x v="1"/>
    <x v="1"/>
    <n v="25"/>
    <x v="3"/>
    <x v="4"/>
  </r>
  <r>
    <n v="2353"/>
    <x v="27"/>
    <x v="0"/>
    <x v="23"/>
    <x v="1"/>
    <n v="46"/>
    <s v="Nebraska"/>
    <x v="2"/>
    <x v="22"/>
    <x v="3"/>
    <x v="11"/>
    <x v="1"/>
    <x v="5"/>
    <x v="1"/>
    <x v="1"/>
    <n v="25"/>
    <x v="4"/>
    <x v="3"/>
  </r>
  <r>
    <n v="2354"/>
    <x v="19"/>
    <x v="0"/>
    <x v="8"/>
    <x v="3"/>
    <n v="71"/>
    <s v="Montana"/>
    <x v="2"/>
    <x v="3"/>
    <x v="3"/>
    <x v="7"/>
    <x v="1"/>
    <x v="3"/>
    <x v="1"/>
    <x v="1"/>
    <n v="25"/>
    <x v="5"/>
    <x v="6"/>
  </r>
  <r>
    <n v="2355"/>
    <x v="19"/>
    <x v="0"/>
    <x v="0"/>
    <x v="0"/>
    <n v="78"/>
    <s v="Wisconsin"/>
    <x v="2"/>
    <x v="24"/>
    <x v="2"/>
    <x v="6"/>
    <x v="1"/>
    <x v="2"/>
    <x v="1"/>
    <x v="1"/>
    <n v="27"/>
    <x v="0"/>
    <x v="5"/>
  </r>
  <r>
    <n v="2356"/>
    <x v="40"/>
    <x v="0"/>
    <x v="11"/>
    <x v="0"/>
    <n v="35"/>
    <s v="Tennessee"/>
    <x v="1"/>
    <x v="7"/>
    <x v="0"/>
    <x v="7"/>
    <x v="1"/>
    <x v="2"/>
    <x v="1"/>
    <x v="1"/>
    <n v="12"/>
    <x v="1"/>
    <x v="5"/>
  </r>
  <r>
    <n v="2357"/>
    <x v="9"/>
    <x v="0"/>
    <x v="21"/>
    <x v="3"/>
    <n v="58"/>
    <s v="Montana"/>
    <x v="2"/>
    <x v="0"/>
    <x v="2"/>
    <x v="21"/>
    <x v="1"/>
    <x v="1"/>
    <x v="1"/>
    <x v="1"/>
    <n v="27"/>
    <x v="5"/>
    <x v="3"/>
  </r>
  <r>
    <n v="2358"/>
    <x v="10"/>
    <x v="0"/>
    <x v="5"/>
    <x v="0"/>
    <n v="67"/>
    <s v="Michigan"/>
    <x v="0"/>
    <x v="17"/>
    <x v="3"/>
    <x v="19"/>
    <x v="1"/>
    <x v="4"/>
    <x v="1"/>
    <x v="1"/>
    <n v="40"/>
    <x v="2"/>
    <x v="4"/>
  </r>
  <r>
    <n v="2359"/>
    <x v="10"/>
    <x v="0"/>
    <x v="1"/>
    <x v="0"/>
    <n v="93"/>
    <s v="Texas"/>
    <x v="0"/>
    <x v="6"/>
    <x v="1"/>
    <x v="22"/>
    <x v="1"/>
    <x v="3"/>
    <x v="1"/>
    <x v="1"/>
    <n v="38"/>
    <x v="2"/>
    <x v="3"/>
  </r>
  <r>
    <n v="2360"/>
    <x v="1"/>
    <x v="0"/>
    <x v="18"/>
    <x v="3"/>
    <n v="81"/>
    <s v="Pennsylvania"/>
    <x v="1"/>
    <x v="9"/>
    <x v="1"/>
    <x v="13"/>
    <x v="1"/>
    <x v="4"/>
    <x v="1"/>
    <x v="1"/>
    <n v="44"/>
    <x v="4"/>
    <x v="6"/>
  </r>
  <r>
    <n v="2361"/>
    <x v="34"/>
    <x v="0"/>
    <x v="8"/>
    <x v="3"/>
    <n v="80"/>
    <s v="New York"/>
    <x v="0"/>
    <x v="5"/>
    <x v="3"/>
    <x v="10"/>
    <x v="1"/>
    <x v="4"/>
    <x v="1"/>
    <x v="1"/>
    <n v="27"/>
    <x v="0"/>
    <x v="6"/>
  </r>
  <r>
    <n v="2362"/>
    <x v="42"/>
    <x v="0"/>
    <x v="18"/>
    <x v="3"/>
    <n v="64"/>
    <s v="Alabama"/>
    <x v="2"/>
    <x v="0"/>
    <x v="1"/>
    <x v="24"/>
    <x v="1"/>
    <x v="4"/>
    <x v="1"/>
    <x v="1"/>
    <n v="30"/>
    <x v="2"/>
    <x v="6"/>
  </r>
  <r>
    <n v="2363"/>
    <x v="7"/>
    <x v="0"/>
    <x v="2"/>
    <x v="0"/>
    <n v="41"/>
    <s v="Virginia"/>
    <x v="2"/>
    <x v="18"/>
    <x v="3"/>
    <x v="2"/>
    <x v="1"/>
    <x v="3"/>
    <x v="1"/>
    <x v="1"/>
    <n v="24"/>
    <x v="2"/>
    <x v="5"/>
  </r>
  <r>
    <n v="2364"/>
    <x v="52"/>
    <x v="0"/>
    <x v="20"/>
    <x v="0"/>
    <n v="79"/>
    <s v="Pennsylvania"/>
    <x v="3"/>
    <x v="6"/>
    <x v="0"/>
    <x v="19"/>
    <x v="1"/>
    <x v="0"/>
    <x v="1"/>
    <x v="1"/>
    <n v="38"/>
    <x v="1"/>
    <x v="4"/>
  </r>
  <r>
    <n v="2365"/>
    <x v="46"/>
    <x v="0"/>
    <x v="12"/>
    <x v="3"/>
    <n v="60"/>
    <s v="Mississippi"/>
    <x v="0"/>
    <x v="1"/>
    <x v="0"/>
    <x v="19"/>
    <x v="1"/>
    <x v="1"/>
    <x v="1"/>
    <x v="1"/>
    <n v="4"/>
    <x v="3"/>
    <x v="3"/>
  </r>
  <r>
    <n v="2366"/>
    <x v="16"/>
    <x v="0"/>
    <x v="4"/>
    <x v="1"/>
    <n v="91"/>
    <s v="Wyoming"/>
    <x v="1"/>
    <x v="15"/>
    <x v="0"/>
    <x v="25"/>
    <x v="1"/>
    <x v="2"/>
    <x v="1"/>
    <x v="1"/>
    <n v="32"/>
    <x v="0"/>
    <x v="5"/>
  </r>
  <r>
    <n v="2367"/>
    <x v="11"/>
    <x v="0"/>
    <x v="9"/>
    <x v="1"/>
    <n v="66"/>
    <s v="New Mexico"/>
    <x v="0"/>
    <x v="18"/>
    <x v="0"/>
    <x v="15"/>
    <x v="1"/>
    <x v="0"/>
    <x v="1"/>
    <x v="1"/>
    <n v="32"/>
    <x v="2"/>
    <x v="0"/>
  </r>
  <r>
    <n v="2368"/>
    <x v="17"/>
    <x v="0"/>
    <x v="20"/>
    <x v="0"/>
    <n v="85"/>
    <s v="North Dakota"/>
    <x v="0"/>
    <x v="14"/>
    <x v="0"/>
    <x v="23"/>
    <x v="1"/>
    <x v="3"/>
    <x v="1"/>
    <x v="1"/>
    <n v="28"/>
    <x v="4"/>
    <x v="4"/>
  </r>
  <r>
    <n v="2369"/>
    <x v="26"/>
    <x v="0"/>
    <x v="12"/>
    <x v="3"/>
    <n v="38"/>
    <s v="New Jersey"/>
    <x v="2"/>
    <x v="12"/>
    <x v="2"/>
    <x v="13"/>
    <x v="1"/>
    <x v="3"/>
    <x v="1"/>
    <x v="1"/>
    <n v="6"/>
    <x v="5"/>
    <x v="6"/>
  </r>
  <r>
    <n v="2370"/>
    <x v="41"/>
    <x v="0"/>
    <x v="1"/>
    <x v="0"/>
    <n v="23"/>
    <s v="Vermont"/>
    <x v="2"/>
    <x v="17"/>
    <x v="0"/>
    <x v="12"/>
    <x v="1"/>
    <x v="3"/>
    <x v="1"/>
    <x v="1"/>
    <n v="24"/>
    <x v="3"/>
    <x v="5"/>
  </r>
  <r>
    <n v="2371"/>
    <x v="47"/>
    <x v="0"/>
    <x v="9"/>
    <x v="1"/>
    <n v="71"/>
    <s v="Alaska"/>
    <x v="2"/>
    <x v="13"/>
    <x v="1"/>
    <x v="20"/>
    <x v="1"/>
    <x v="5"/>
    <x v="1"/>
    <x v="1"/>
    <n v="38"/>
    <x v="0"/>
    <x v="1"/>
  </r>
  <r>
    <n v="2372"/>
    <x v="29"/>
    <x v="0"/>
    <x v="20"/>
    <x v="0"/>
    <n v="25"/>
    <s v="Indiana"/>
    <x v="2"/>
    <x v="4"/>
    <x v="0"/>
    <x v="18"/>
    <x v="1"/>
    <x v="2"/>
    <x v="1"/>
    <x v="1"/>
    <n v="28"/>
    <x v="5"/>
    <x v="2"/>
  </r>
  <r>
    <n v="2373"/>
    <x v="2"/>
    <x v="0"/>
    <x v="23"/>
    <x v="1"/>
    <n v="39"/>
    <s v="Alabama"/>
    <x v="3"/>
    <x v="5"/>
    <x v="1"/>
    <x v="0"/>
    <x v="1"/>
    <x v="0"/>
    <x v="1"/>
    <x v="1"/>
    <n v="9"/>
    <x v="3"/>
    <x v="0"/>
  </r>
  <r>
    <n v="2374"/>
    <x v="43"/>
    <x v="0"/>
    <x v="15"/>
    <x v="0"/>
    <n v="20"/>
    <s v="Michigan"/>
    <x v="2"/>
    <x v="0"/>
    <x v="1"/>
    <x v="8"/>
    <x v="1"/>
    <x v="0"/>
    <x v="1"/>
    <x v="1"/>
    <n v="21"/>
    <x v="5"/>
    <x v="6"/>
  </r>
  <r>
    <n v="2375"/>
    <x v="28"/>
    <x v="0"/>
    <x v="24"/>
    <x v="3"/>
    <n v="73"/>
    <s v="Washington"/>
    <x v="0"/>
    <x v="15"/>
    <x v="0"/>
    <x v="10"/>
    <x v="1"/>
    <x v="3"/>
    <x v="1"/>
    <x v="1"/>
    <n v="31"/>
    <x v="5"/>
    <x v="5"/>
  </r>
  <r>
    <n v="2376"/>
    <x v="52"/>
    <x v="0"/>
    <x v="21"/>
    <x v="3"/>
    <n v="63"/>
    <s v="Virginia"/>
    <x v="0"/>
    <x v="15"/>
    <x v="3"/>
    <x v="3"/>
    <x v="1"/>
    <x v="2"/>
    <x v="1"/>
    <x v="1"/>
    <n v="18"/>
    <x v="2"/>
    <x v="3"/>
  </r>
  <r>
    <n v="2377"/>
    <x v="3"/>
    <x v="0"/>
    <x v="24"/>
    <x v="3"/>
    <n v="94"/>
    <s v="Tennessee"/>
    <x v="3"/>
    <x v="17"/>
    <x v="1"/>
    <x v="7"/>
    <x v="1"/>
    <x v="0"/>
    <x v="1"/>
    <x v="1"/>
    <n v="5"/>
    <x v="1"/>
    <x v="1"/>
  </r>
  <r>
    <n v="2378"/>
    <x v="42"/>
    <x v="0"/>
    <x v="0"/>
    <x v="0"/>
    <n v="94"/>
    <s v="South Dakota"/>
    <x v="0"/>
    <x v="23"/>
    <x v="3"/>
    <x v="17"/>
    <x v="1"/>
    <x v="2"/>
    <x v="1"/>
    <x v="1"/>
    <n v="22"/>
    <x v="1"/>
    <x v="2"/>
  </r>
  <r>
    <n v="2379"/>
    <x v="8"/>
    <x v="0"/>
    <x v="18"/>
    <x v="3"/>
    <n v="71"/>
    <s v="New Hampshire"/>
    <x v="0"/>
    <x v="11"/>
    <x v="2"/>
    <x v="2"/>
    <x v="1"/>
    <x v="5"/>
    <x v="1"/>
    <x v="1"/>
    <n v="37"/>
    <x v="3"/>
    <x v="4"/>
  </r>
  <r>
    <n v="2380"/>
    <x v="37"/>
    <x v="0"/>
    <x v="19"/>
    <x v="3"/>
    <n v="77"/>
    <s v="South Dakota"/>
    <x v="2"/>
    <x v="15"/>
    <x v="1"/>
    <x v="17"/>
    <x v="1"/>
    <x v="4"/>
    <x v="1"/>
    <x v="1"/>
    <n v="22"/>
    <x v="5"/>
    <x v="5"/>
  </r>
  <r>
    <n v="2381"/>
    <x v="38"/>
    <x v="0"/>
    <x v="18"/>
    <x v="3"/>
    <n v="66"/>
    <s v="Pennsylvania"/>
    <x v="2"/>
    <x v="13"/>
    <x v="3"/>
    <x v="25"/>
    <x v="1"/>
    <x v="2"/>
    <x v="1"/>
    <x v="1"/>
    <n v="36"/>
    <x v="3"/>
    <x v="0"/>
  </r>
  <r>
    <n v="2382"/>
    <x v="46"/>
    <x v="0"/>
    <x v="3"/>
    <x v="1"/>
    <n v="23"/>
    <s v="Wisconsin"/>
    <x v="2"/>
    <x v="11"/>
    <x v="2"/>
    <x v="9"/>
    <x v="1"/>
    <x v="1"/>
    <x v="1"/>
    <x v="1"/>
    <n v="23"/>
    <x v="3"/>
    <x v="2"/>
  </r>
  <r>
    <n v="2383"/>
    <x v="31"/>
    <x v="0"/>
    <x v="1"/>
    <x v="0"/>
    <n v="60"/>
    <s v="California"/>
    <x v="2"/>
    <x v="2"/>
    <x v="1"/>
    <x v="20"/>
    <x v="1"/>
    <x v="0"/>
    <x v="1"/>
    <x v="1"/>
    <n v="44"/>
    <x v="5"/>
    <x v="1"/>
  </r>
  <r>
    <n v="2384"/>
    <x v="10"/>
    <x v="0"/>
    <x v="21"/>
    <x v="3"/>
    <n v="72"/>
    <s v="Rhode Island"/>
    <x v="0"/>
    <x v="9"/>
    <x v="1"/>
    <x v="8"/>
    <x v="1"/>
    <x v="4"/>
    <x v="1"/>
    <x v="1"/>
    <n v="25"/>
    <x v="4"/>
    <x v="2"/>
  </r>
  <r>
    <n v="2385"/>
    <x v="41"/>
    <x v="0"/>
    <x v="0"/>
    <x v="0"/>
    <n v="35"/>
    <s v="Alabama"/>
    <x v="0"/>
    <x v="14"/>
    <x v="0"/>
    <x v="13"/>
    <x v="1"/>
    <x v="4"/>
    <x v="1"/>
    <x v="1"/>
    <n v="40"/>
    <x v="3"/>
    <x v="3"/>
  </r>
  <r>
    <n v="2386"/>
    <x v="38"/>
    <x v="0"/>
    <x v="18"/>
    <x v="3"/>
    <n v="31"/>
    <s v="Oklahoma"/>
    <x v="2"/>
    <x v="18"/>
    <x v="3"/>
    <x v="22"/>
    <x v="1"/>
    <x v="0"/>
    <x v="1"/>
    <x v="1"/>
    <n v="12"/>
    <x v="3"/>
    <x v="1"/>
  </r>
  <r>
    <n v="2387"/>
    <x v="1"/>
    <x v="0"/>
    <x v="20"/>
    <x v="0"/>
    <n v="33"/>
    <s v="Illinois"/>
    <x v="0"/>
    <x v="24"/>
    <x v="2"/>
    <x v="3"/>
    <x v="1"/>
    <x v="3"/>
    <x v="1"/>
    <x v="1"/>
    <n v="14"/>
    <x v="0"/>
    <x v="5"/>
  </r>
  <r>
    <n v="2388"/>
    <x v="24"/>
    <x v="0"/>
    <x v="19"/>
    <x v="3"/>
    <n v="95"/>
    <s v="Tennessee"/>
    <x v="2"/>
    <x v="9"/>
    <x v="2"/>
    <x v="17"/>
    <x v="1"/>
    <x v="4"/>
    <x v="1"/>
    <x v="1"/>
    <n v="14"/>
    <x v="5"/>
    <x v="5"/>
  </r>
  <r>
    <n v="2389"/>
    <x v="3"/>
    <x v="0"/>
    <x v="10"/>
    <x v="0"/>
    <n v="68"/>
    <s v="Alabama"/>
    <x v="2"/>
    <x v="15"/>
    <x v="3"/>
    <x v="7"/>
    <x v="1"/>
    <x v="5"/>
    <x v="1"/>
    <x v="1"/>
    <n v="10"/>
    <x v="5"/>
    <x v="2"/>
  </r>
  <r>
    <n v="2390"/>
    <x v="15"/>
    <x v="0"/>
    <x v="7"/>
    <x v="2"/>
    <n v="87"/>
    <s v="Kansas"/>
    <x v="2"/>
    <x v="10"/>
    <x v="1"/>
    <x v="0"/>
    <x v="1"/>
    <x v="5"/>
    <x v="1"/>
    <x v="1"/>
    <n v="17"/>
    <x v="4"/>
    <x v="6"/>
  </r>
  <r>
    <n v="2391"/>
    <x v="13"/>
    <x v="0"/>
    <x v="5"/>
    <x v="0"/>
    <n v="64"/>
    <s v="Arizona"/>
    <x v="3"/>
    <x v="22"/>
    <x v="0"/>
    <x v="12"/>
    <x v="1"/>
    <x v="0"/>
    <x v="1"/>
    <x v="1"/>
    <n v="24"/>
    <x v="5"/>
    <x v="0"/>
  </r>
  <r>
    <n v="2392"/>
    <x v="32"/>
    <x v="0"/>
    <x v="5"/>
    <x v="0"/>
    <n v="74"/>
    <s v="Michigan"/>
    <x v="2"/>
    <x v="13"/>
    <x v="0"/>
    <x v="12"/>
    <x v="1"/>
    <x v="2"/>
    <x v="1"/>
    <x v="1"/>
    <n v="31"/>
    <x v="4"/>
    <x v="3"/>
  </r>
  <r>
    <n v="2393"/>
    <x v="37"/>
    <x v="0"/>
    <x v="2"/>
    <x v="0"/>
    <n v="62"/>
    <s v="Missouri"/>
    <x v="0"/>
    <x v="5"/>
    <x v="1"/>
    <x v="5"/>
    <x v="1"/>
    <x v="4"/>
    <x v="1"/>
    <x v="1"/>
    <n v="36"/>
    <x v="1"/>
    <x v="2"/>
  </r>
  <r>
    <n v="2394"/>
    <x v="44"/>
    <x v="0"/>
    <x v="20"/>
    <x v="0"/>
    <n v="97"/>
    <s v="Louisiana"/>
    <x v="2"/>
    <x v="18"/>
    <x v="0"/>
    <x v="16"/>
    <x v="1"/>
    <x v="4"/>
    <x v="1"/>
    <x v="1"/>
    <n v="38"/>
    <x v="3"/>
    <x v="6"/>
  </r>
  <r>
    <n v="2395"/>
    <x v="37"/>
    <x v="0"/>
    <x v="3"/>
    <x v="1"/>
    <n v="47"/>
    <s v="Connecticut"/>
    <x v="0"/>
    <x v="15"/>
    <x v="3"/>
    <x v="3"/>
    <x v="1"/>
    <x v="4"/>
    <x v="1"/>
    <x v="1"/>
    <n v="23"/>
    <x v="5"/>
    <x v="0"/>
  </r>
  <r>
    <n v="2396"/>
    <x v="46"/>
    <x v="0"/>
    <x v="0"/>
    <x v="0"/>
    <n v="83"/>
    <s v="Connecticut"/>
    <x v="2"/>
    <x v="17"/>
    <x v="0"/>
    <x v="1"/>
    <x v="1"/>
    <x v="4"/>
    <x v="1"/>
    <x v="1"/>
    <n v="47"/>
    <x v="3"/>
    <x v="4"/>
  </r>
  <r>
    <n v="2397"/>
    <x v="21"/>
    <x v="0"/>
    <x v="5"/>
    <x v="0"/>
    <n v="82"/>
    <s v="Oregon"/>
    <x v="2"/>
    <x v="8"/>
    <x v="1"/>
    <x v="18"/>
    <x v="1"/>
    <x v="4"/>
    <x v="1"/>
    <x v="1"/>
    <n v="20"/>
    <x v="0"/>
    <x v="1"/>
  </r>
  <r>
    <n v="2398"/>
    <x v="43"/>
    <x v="0"/>
    <x v="12"/>
    <x v="3"/>
    <n v="26"/>
    <s v="West Virginia"/>
    <x v="0"/>
    <x v="13"/>
    <x v="3"/>
    <x v="3"/>
    <x v="1"/>
    <x v="5"/>
    <x v="1"/>
    <x v="1"/>
    <n v="41"/>
    <x v="0"/>
    <x v="5"/>
  </r>
  <r>
    <n v="2399"/>
    <x v="13"/>
    <x v="0"/>
    <x v="14"/>
    <x v="2"/>
    <n v="81"/>
    <s v="Florida"/>
    <x v="2"/>
    <x v="20"/>
    <x v="0"/>
    <x v="24"/>
    <x v="1"/>
    <x v="1"/>
    <x v="1"/>
    <x v="1"/>
    <n v="44"/>
    <x v="4"/>
    <x v="0"/>
  </r>
  <r>
    <n v="2400"/>
    <x v="0"/>
    <x v="0"/>
    <x v="10"/>
    <x v="0"/>
    <n v="44"/>
    <s v="New Hampshire"/>
    <x v="0"/>
    <x v="19"/>
    <x v="1"/>
    <x v="4"/>
    <x v="1"/>
    <x v="5"/>
    <x v="1"/>
    <x v="1"/>
    <n v="31"/>
    <x v="1"/>
    <x v="5"/>
  </r>
  <r>
    <n v="2401"/>
    <x v="49"/>
    <x v="0"/>
    <x v="12"/>
    <x v="3"/>
    <n v="88"/>
    <s v="Oregon"/>
    <x v="2"/>
    <x v="15"/>
    <x v="0"/>
    <x v="19"/>
    <x v="1"/>
    <x v="2"/>
    <x v="1"/>
    <x v="1"/>
    <n v="11"/>
    <x v="2"/>
    <x v="4"/>
  </r>
  <r>
    <n v="2402"/>
    <x v="49"/>
    <x v="0"/>
    <x v="23"/>
    <x v="1"/>
    <n v="76"/>
    <s v="Oregon"/>
    <x v="2"/>
    <x v="6"/>
    <x v="0"/>
    <x v="19"/>
    <x v="1"/>
    <x v="3"/>
    <x v="1"/>
    <x v="1"/>
    <n v="25"/>
    <x v="3"/>
    <x v="4"/>
  </r>
  <r>
    <n v="2403"/>
    <x v="4"/>
    <x v="0"/>
    <x v="18"/>
    <x v="3"/>
    <n v="89"/>
    <s v="Utah"/>
    <x v="2"/>
    <x v="18"/>
    <x v="0"/>
    <x v="22"/>
    <x v="1"/>
    <x v="1"/>
    <x v="1"/>
    <x v="1"/>
    <n v="31"/>
    <x v="1"/>
    <x v="1"/>
  </r>
  <r>
    <n v="2404"/>
    <x v="14"/>
    <x v="0"/>
    <x v="6"/>
    <x v="0"/>
    <n v="22"/>
    <s v="Missouri"/>
    <x v="2"/>
    <x v="23"/>
    <x v="3"/>
    <x v="14"/>
    <x v="1"/>
    <x v="3"/>
    <x v="1"/>
    <x v="1"/>
    <n v="40"/>
    <x v="5"/>
    <x v="1"/>
  </r>
  <r>
    <n v="2405"/>
    <x v="48"/>
    <x v="0"/>
    <x v="6"/>
    <x v="0"/>
    <n v="33"/>
    <s v="West Virginia"/>
    <x v="0"/>
    <x v="17"/>
    <x v="0"/>
    <x v="0"/>
    <x v="1"/>
    <x v="4"/>
    <x v="1"/>
    <x v="1"/>
    <n v="23"/>
    <x v="2"/>
    <x v="4"/>
  </r>
  <r>
    <n v="2406"/>
    <x v="28"/>
    <x v="0"/>
    <x v="2"/>
    <x v="0"/>
    <n v="97"/>
    <s v="California"/>
    <x v="3"/>
    <x v="5"/>
    <x v="3"/>
    <x v="16"/>
    <x v="1"/>
    <x v="3"/>
    <x v="1"/>
    <x v="1"/>
    <n v="5"/>
    <x v="5"/>
    <x v="3"/>
  </r>
  <r>
    <n v="2407"/>
    <x v="22"/>
    <x v="0"/>
    <x v="18"/>
    <x v="3"/>
    <n v="57"/>
    <s v="California"/>
    <x v="2"/>
    <x v="21"/>
    <x v="0"/>
    <x v="10"/>
    <x v="1"/>
    <x v="3"/>
    <x v="1"/>
    <x v="1"/>
    <n v="26"/>
    <x v="3"/>
    <x v="1"/>
  </r>
  <r>
    <n v="2408"/>
    <x v="16"/>
    <x v="0"/>
    <x v="6"/>
    <x v="0"/>
    <n v="38"/>
    <s v="Illinois"/>
    <x v="2"/>
    <x v="19"/>
    <x v="2"/>
    <x v="21"/>
    <x v="1"/>
    <x v="0"/>
    <x v="1"/>
    <x v="1"/>
    <n v="11"/>
    <x v="2"/>
    <x v="4"/>
  </r>
  <r>
    <n v="2409"/>
    <x v="51"/>
    <x v="0"/>
    <x v="4"/>
    <x v="1"/>
    <n v="55"/>
    <s v="Hawaii"/>
    <x v="3"/>
    <x v="13"/>
    <x v="3"/>
    <x v="19"/>
    <x v="1"/>
    <x v="2"/>
    <x v="1"/>
    <x v="1"/>
    <n v="44"/>
    <x v="5"/>
    <x v="6"/>
  </r>
  <r>
    <n v="2410"/>
    <x v="8"/>
    <x v="0"/>
    <x v="16"/>
    <x v="3"/>
    <n v="37"/>
    <s v="Washington"/>
    <x v="0"/>
    <x v="22"/>
    <x v="1"/>
    <x v="21"/>
    <x v="1"/>
    <x v="5"/>
    <x v="1"/>
    <x v="1"/>
    <n v="47"/>
    <x v="1"/>
    <x v="6"/>
  </r>
  <r>
    <n v="2411"/>
    <x v="39"/>
    <x v="0"/>
    <x v="9"/>
    <x v="1"/>
    <n v="43"/>
    <s v="Wisconsin"/>
    <x v="2"/>
    <x v="1"/>
    <x v="2"/>
    <x v="18"/>
    <x v="1"/>
    <x v="1"/>
    <x v="1"/>
    <x v="1"/>
    <n v="46"/>
    <x v="3"/>
    <x v="5"/>
  </r>
  <r>
    <n v="2412"/>
    <x v="34"/>
    <x v="0"/>
    <x v="15"/>
    <x v="0"/>
    <n v="96"/>
    <s v="Virginia"/>
    <x v="2"/>
    <x v="17"/>
    <x v="2"/>
    <x v="2"/>
    <x v="1"/>
    <x v="1"/>
    <x v="1"/>
    <x v="1"/>
    <n v="35"/>
    <x v="1"/>
    <x v="6"/>
  </r>
  <r>
    <n v="2413"/>
    <x v="10"/>
    <x v="0"/>
    <x v="14"/>
    <x v="2"/>
    <n v="51"/>
    <s v="Oregon"/>
    <x v="2"/>
    <x v="6"/>
    <x v="0"/>
    <x v="24"/>
    <x v="1"/>
    <x v="4"/>
    <x v="1"/>
    <x v="1"/>
    <n v="8"/>
    <x v="4"/>
    <x v="4"/>
  </r>
  <r>
    <n v="2414"/>
    <x v="28"/>
    <x v="0"/>
    <x v="6"/>
    <x v="0"/>
    <n v="95"/>
    <s v="Pennsylvania"/>
    <x v="3"/>
    <x v="10"/>
    <x v="3"/>
    <x v="2"/>
    <x v="1"/>
    <x v="4"/>
    <x v="1"/>
    <x v="1"/>
    <n v="30"/>
    <x v="4"/>
    <x v="1"/>
  </r>
  <r>
    <n v="2415"/>
    <x v="8"/>
    <x v="0"/>
    <x v="20"/>
    <x v="0"/>
    <n v="26"/>
    <s v="Virginia"/>
    <x v="2"/>
    <x v="12"/>
    <x v="2"/>
    <x v="18"/>
    <x v="1"/>
    <x v="2"/>
    <x v="1"/>
    <x v="1"/>
    <n v="14"/>
    <x v="2"/>
    <x v="4"/>
  </r>
  <r>
    <n v="2416"/>
    <x v="3"/>
    <x v="0"/>
    <x v="7"/>
    <x v="2"/>
    <n v="34"/>
    <s v="Hawaii"/>
    <x v="3"/>
    <x v="12"/>
    <x v="3"/>
    <x v="24"/>
    <x v="1"/>
    <x v="3"/>
    <x v="1"/>
    <x v="1"/>
    <n v="30"/>
    <x v="4"/>
    <x v="1"/>
  </r>
  <r>
    <n v="2417"/>
    <x v="35"/>
    <x v="0"/>
    <x v="3"/>
    <x v="1"/>
    <n v="83"/>
    <s v="Nebraska"/>
    <x v="1"/>
    <x v="13"/>
    <x v="2"/>
    <x v="17"/>
    <x v="1"/>
    <x v="2"/>
    <x v="1"/>
    <x v="1"/>
    <n v="26"/>
    <x v="2"/>
    <x v="6"/>
  </r>
  <r>
    <n v="2418"/>
    <x v="3"/>
    <x v="0"/>
    <x v="21"/>
    <x v="3"/>
    <n v="24"/>
    <s v="Alaska"/>
    <x v="2"/>
    <x v="8"/>
    <x v="3"/>
    <x v="13"/>
    <x v="1"/>
    <x v="3"/>
    <x v="1"/>
    <x v="1"/>
    <n v="32"/>
    <x v="0"/>
    <x v="0"/>
  </r>
  <r>
    <n v="2419"/>
    <x v="40"/>
    <x v="0"/>
    <x v="13"/>
    <x v="0"/>
    <n v="69"/>
    <s v="Michigan"/>
    <x v="1"/>
    <x v="21"/>
    <x v="3"/>
    <x v="17"/>
    <x v="1"/>
    <x v="2"/>
    <x v="1"/>
    <x v="1"/>
    <n v="47"/>
    <x v="1"/>
    <x v="6"/>
  </r>
  <r>
    <n v="2420"/>
    <x v="8"/>
    <x v="0"/>
    <x v="1"/>
    <x v="0"/>
    <n v="40"/>
    <s v="North Carolina"/>
    <x v="2"/>
    <x v="24"/>
    <x v="3"/>
    <x v="2"/>
    <x v="1"/>
    <x v="2"/>
    <x v="1"/>
    <x v="1"/>
    <n v="11"/>
    <x v="2"/>
    <x v="6"/>
  </r>
  <r>
    <n v="2421"/>
    <x v="38"/>
    <x v="0"/>
    <x v="14"/>
    <x v="2"/>
    <n v="87"/>
    <s v="North Carolina"/>
    <x v="1"/>
    <x v="14"/>
    <x v="0"/>
    <x v="19"/>
    <x v="1"/>
    <x v="1"/>
    <x v="1"/>
    <x v="1"/>
    <n v="28"/>
    <x v="3"/>
    <x v="2"/>
  </r>
  <r>
    <n v="2422"/>
    <x v="43"/>
    <x v="0"/>
    <x v="4"/>
    <x v="1"/>
    <n v="46"/>
    <s v="Minnesota"/>
    <x v="0"/>
    <x v="6"/>
    <x v="1"/>
    <x v="12"/>
    <x v="1"/>
    <x v="3"/>
    <x v="1"/>
    <x v="1"/>
    <n v="2"/>
    <x v="5"/>
    <x v="6"/>
  </r>
  <r>
    <n v="2423"/>
    <x v="11"/>
    <x v="0"/>
    <x v="16"/>
    <x v="3"/>
    <n v="82"/>
    <s v="Georgia"/>
    <x v="2"/>
    <x v="15"/>
    <x v="0"/>
    <x v="6"/>
    <x v="1"/>
    <x v="5"/>
    <x v="1"/>
    <x v="1"/>
    <n v="45"/>
    <x v="2"/>
    <x v="1"/>
  </r>
  <r>
    <n v="2424"/>
    <x v="34"/>
    <x v="0"/>
    <x v="21"/>
    <x v="3"/>
    <n v="81"/>
    <s v="West Virginia"/>
    <x v="2"/>
    <x v="7"/>
    <x v="2"/>
    <x v="11"/>
    <x v="1"/>
    <x v="1"/>
    <x v="1"/>
    <x v="1"/>
    <n v="7"/>
    <x v="2"/>
    <x v="6"/>
  </r>
  <r>
    <n v="2425"/>
    <x v="34"/>
    <x v="0"/>
    <x v="16"/>
    <x v="3"/>
    <n v="57"/>
    <s v="Delaware"/>
    <x v="2"/>
    <x v="15"/>
    <x v="0"/>
    <x v="9"/>
    <x v="1"/>
    <x v="2"/>
    <x v="1"/>
    <x v="1"/>
    <n v="28"/>
    <x v="4"/>
    <x v="4"/>
  </r>
  <r>
    <n v="2426"/>
    <x v="44"/>
    <x v="0"/>
    <x v="9"/>
    <x v="1"/>
    <n v="49"/>
    <s v="North Dakota"/>
    <x v="1"/>
    <x v="8"/>
    <x v="2"/>
    <x v="21"/>
    <x v="1"/>
    <x v="4"/>
    <x v="1"/>
    <x v="1"/>
    <n v="34"/>
    <x v="4"/>
    <x v="3"/>
  </r>
  <r>
    <n v="2427"/>
    <x v="27"/>
    <x v="0"/>
    <x v="14"/>
    <x v="2"/>
    <n v="42"/>
    <s v="Florida"/>
    <x v="2"/>
    <x v="8"/>
    <x v="3"/>
    <x v="12"/>
    <x v="1"/>
    <x v="1"/>
    <x v="1"/>
    <x v="1"/>
    <n v="26"/>
    <x v="5"/>
    <x v="6"/>
  </r>
  <r>
    <n v="2428"/>
    <x v="7"/>
    <x v="0"/>
    <x v="14"/>
    <x v="2"/>
    <n v="26"/>
    <s v="Oregon"/>
    <x v="2"/>
    <x v="7"/>
    <x v="1"/>
    <x v="13"/>
    <x v="1"/>
    <x v="3"/>
    <x v="1"/>
    <x v="1"/>
    <n v="45"/>
    <x v="1"/>
    <x v="3"/>
  </r>
  <r>
    <n v="2429"/>
    <x v="13"/>
    <x v="0"/>
    <x v="17"/>
    <x v="0"/>
    <n v="38"/>
    <s v="Idaho"/>
    <x v="2"/>
    <x v="10"/>
    <x v="1"/>
    <x v="14"/>
    <x v="1"/>
    <x v="2"/>
    <x v="1"/>
    <x v="1"/>
    <n v="34"/>
    <x v="5"/>
    <x v="2"/>
  </r>
  <r>
    <n v="2430"/>
    <x v="9"/>
    <x v="0"/>
    <x v="4"/>
    <x v="1"/>
    <n v="57"/>
    <s v="Virginia"/>
    <x v="3"/>
    <x v="1"/>
    <x v="2"/>
    <x v="14"/>
    <x v="1"/>
    <x v="3"/>
    <x v="1"/>
    <x v="1"/>
    <n v="47"/>
    <x v="2"/>
    <x v="0"/>
  </r>
  <r>
    <n v="2431"/>
    <x v="30"/>
    <x v="0"/>
    <x v="14"/>
    <x v="2"/>
    <n v="100"/>
    <s v="North Dakota"/>
    <x v="3"/>
    <x v="3"/>
    <x v="2"/>
    <x v="24"/>
    <x v="1"/>
    <x v="0"/>
    <x v="1"/>
    <x v="1"/>
    <n v="42"/>
    <x v="1"/>
    <x v="3"/>
  </r>
  <r>
    <n v="2432"/>
    <x v="50"/>
    <x v="0"/>
    <x v="15"/>
    <x v="0"/>
    <n v="73"/>
    <s v="Alabama"/>
    <x v="1"/>
    <x v="8"/>
    <x v="3"/>
    <x v="23"/>
    <x v="1"/>
    <x v="0"/>
    <x v="1"/>
    <x v="1"/>
    <n v="27"/>
    <x v="4"/>
    <x v="6"/>
  </r>
  <r>
    <n v="2433"/>
    <x v="35"/>
    <x v="0"/>
    <x v="14"/>
    <x v="2"/>
    <n v="66"/>
    <s v="Hawaii"/>
    <x v="2"/>
    <x v="15"/>
    <x v="0"/>
    <x v="11"/>
    <x v="1"/>
    <x v="5"/>
    <x v="1"/>
    <x v="1"/>
    <n v="43"/>
    <x v="0"/>
    <x v="5"/>
  </r>
  <r>
    <n v="2434"/>
    <x v="22"/>
    <x v="0"/>
    <x v="17"/>
    <x v="0"/>
    <n v="73"/>
    <s v="Oregon"/>
    <x v="2"/>
    <x v="24"/>
    <x v="1"/>
    <x v="23"/>
    <x v="1"/>
    <x v="3"/>
    <x v="1"/>
    <x v="1"/>
    <n v="16"/>
    <x v="1"/>
    <x v="4"/>
  </r>
  <r>
    <n v="2435"/>
    <x v="24"/>
    <x v="0"/>
    <x v="24"/>
    <x v="3"/>
    <n v="45"/>
    <s v="Utah"/>
    <x v="2"/>
    <x v="18"/>
    <x v="1"/>
    <x v="16"/>
    <x v="1"/>
    <x v="5"/>
    <x v="1"/>
    <x v="1"/>
    <n v="40"/>
    <x v="2"/>
    <x v="5"/>
  </r>
  <r>
    <n v="2436"/>
    <x v="3"/>
    <x v="0"/>
    <x v="4"/>
    <x v="1"/>
    <n v="27"/>
    <s v="Hawaii"/>
    <x v="1"/>
    <x v="13"/>
    <x v="3"/>
    <x v="9"/>
    <x v="1"/>
    <x v="1"/>
    <x v="1"/>
    <x v="1"/>
    <n v="29"/>
    <x v="1"/>
    <x v="4"/>
  </r>
  <r>
    <n v="2437"/>
    <x v="16"/>
    <x v="0"/>
    <x v="17"/>
    <x v="0"/>
    <n v="24"/>
    <s v="Connecticut"/>
    <x v="2"/>
    <x v="22"/>
    <x v="3"/>
    <x v="2"/>
    <x v="1"/>
    <x v="5"/>
    <x v="1"/>
    <x v="1"/>
    <n v="38"/>
    <x v="2"/>
    <x v="3"/>
  </r>
  <r>
    <n v="2438"/>
    <x v="49"/>
    <x v="0"/>
    <x v="4"/>
    <x v="1"/>
    <n v="59"/>
    <s v="Wyoming"/>
    <x v="3"/>
    <x v="23"/>
    <x v="0"/>
    <x v="23"/>
    <x v="1"/>
    <x v="5"/>
    <x v="1"/>
    <x v="1"/>
    <n v="34"/>
    <x v="2"/>
    <x v="1"/>
  </r>
  <r>
    <n v="2439"/>
    <x v="45"/>
    <x v="0"/>
    <x v="2"/>
    <x v="0"/>
    <n v="20"/>
    <s v="Delaware"/>
    <x v="1"/>
    <x v="17"/>
    <x v="0"/>
    <x v="23"/>
    <x v="1"/>
    <x v="0"/>
    <x v="1"/>
    <x v="1"/>
    <n v="30"/>
    <x v="0"/>
    <x v="1"/>
  </r>
  <r>
    <n v="2440"/>
    <x v="0"/>
    <x v="0"/>
    <x v="8"/>
    <x v="3"/>
    <n v="44"/>
    <s v="Arkansas"/>
    <x v="2"/>
    <x v="1"/>
    <x v="2"/>
    <x v="11"/>
    <x v="1"/>
    <x v="3"/>
    <x v="1"/>
    <x v="1"/>
    <n v="45"/>
    <x v="4"/>
    <x v="2"/>
  </r>
  <r>
    <n v="2441"/>
    <x v="18"/>
    <x v="0"/>
    <x v="20"/>
    <x v="0"/>
    <n v="90"/>
    <s v="Indiana"/>
    <x v="2"/>
    <x v="16"/>
    <x v="1"/>
    <x v="10"/>
    <x v="1"/>
    <x v="3"/>
    <x v="1"/>
    <x v="1"/>
    <n v="47"/>
    <x v="4"/>
    <x v="2"/>
  </r>
  <r>
    <n v="2442"/>
    <x v="4"/>
    <x v="0"/>
    <x v="16"/>
    <x v="3"/>
    <n v="36"/>
    <s v="California"/>
    <x v="2"/>
    <x v="13"/>
    <x v="3"/>
    <x v="10"/>
    <x v="1"/>
    <x v="1"/>
    <x v="1"/>
    <x v="1"/>
    <n v="5"/>
    <x v="2"/>
    <x v="5"/>
  </r>
  <r>
    <n v="2443"/>
    <x v="10"/>
    <x v="0"/>
    <x v="0"/>
    <x v="0"/>
    <n v="95"/>
    <s v="Wyoming"/>
    <x v="0"/>
    <x v="10"/>
    <x v="0"/>
    <x v="10"/>
    <x v="1"/>
    <x v="1"/>
    <x v="1"/>
    <x v="1"/>
    <n v="50"/>
    <x v="5"/>
    <x v="4"/>
  </r>
  <r>
    <n v="2444"/>
    <x v="41"/>
    <x v="0"/>
    <x v="21"/>
    <x v="3"/>
    <n v="30"/>
    <s v="South Dakota"/>
    <x v="2"/>
    <x v="14"/>
    <x v="1"/>
    <x v="23"/>
    <x v="1"/>
    <x v="4"/>
    <x v="1"/>
    <x v="1"/>
    <n v="24"/>
    <x v="4"/>
    <x v="4"/>
  </r>
  <r>
    <n v="2445"/>
    <x v="36"/>
    <x v="0"/>
    <x v="18"/>
    <x v="3"/>
    <n v="65"/>
    <s v="West Virginia"/>
    <x v="1"/>
    <x v="9"/>
    <x v="3"/>
    <x v="18"/>
    <x v="1"/>
    <x v="0"/>
    <x v="1"/>
    <x v="1"/>
    <n v="15"/>
    <x v="5"/>
    <x v="4"/>
  </r>
  <r>
    <n v="2446"/>
    <x v="6"/>
    <x v="0"/>
    <x v="18"/>
    <x v="3"/>
    <n v="96"/>
    <s v="Tennessee"/>
    <x v="2"/>
    <x v="18"/>
    <x v="2"/>
    <x v="7"/>
    <x v="1"/>
    <x v="5"/>
    <x v="1"/>
    <x v="1"/>
    <n v="50"/>
    <x v="1"/>
    <x v="1"/>
  </r>
  <r>
    <n v="2447"/>
    <x v="21"/>
    <x v="0"/>
    <x v="5"/>
    <x v="0"/>
    <n v="65"/>
    <s v="Alaska"/>
    <x v="0"/>
    <x v="15"/>
    <x v="1"/>
    <x v="3"/>
    <x v="1"/>
    <x v="4"/>
    <x v="1"/>
    <x v="1"/>
    <n v="7"/>
    <x v="2"/>
    <x v="5"/>
  </r>
  <r>
    <n v="2448"/>
    <x v="35"/>
    <x v="0"/>
    <x v="13"/>
    <x v="0"/>
    <n v="47"/>
    <s v="South Dakota"/>
    <x v="0"/>
    <x v="15"/>
    <x v="3"/>
    <x v="4"/>
    <x v="1"/>
    <x v="5"/>
    <x v="1"/>
    <x v="1"/>
    <n v="10"/>
    <x v="0"/>
    <x v="0"/>
  </r>
  <r>
    <n v="2449"/>
    <x v="22"/>
    <x v="0"/>
    <x v="19"/>
    <x v="3"/>
    <n v="25"/>
    <s v="Tennessee"/>
    <x v="1"/>
    <x v="10"/>
    <x v="3"/>
    <x v="21"/>
    <x v="1"/>
    <x v="1"/>
    <x v="1"/>
    <x v="1"/>
    <n v="38"/>
    <x v="3"/>
    <x v="4"/>
  </r>
  <r>
    <n v="2450"/>
    <x v="8"/>
    <x v="0"/>
    <x v="7"/>
    <x v="2"/>
    <n v="56"/>
    <s v="Alabama"/>
    <x v="1"/>
    <x v="10"/>
    <x v="3"/>
    <x v="7"/>
    <x v="1"/>
    <x v="0"/>
    <x v="1"/>
    <x v="1"/>
    <n v="31"/>
    <x v="0"/>
    <x v="0"/>
  </r>
  <r>
    <n v="2451"/>
    <x v="33"/>
    <x v="0"/>
    <x v="17"/>
    <x v="0"/>
    <n v="76"/>
    <s v="North Carolina"/>
    <x v="2"/>
    <x v="23"/>
    <x v="3"/>
    <x v="9"/>
    <x v="1"/>
    <x v="3"/>
    <x v="1"/>
    <x v="1"/>
    <n v="7"/>
    <x v="0"/>
    <x v="3"/>
  </r>
  <r>
    <n v="2452"/>
    <x v="38"/>
    <x v="0"/>
    <x v="20"/>
    <x v="0"/>
    <n v="60"/>
    <s v="Oklahoma"/>
    <x v="2"/>
    <x v="7"/>
    <x v="3"/>
    <x v="23"/>
    <x v="1"/>
    <x v="5"/>
    <x v="1"/>
    <x v="1"/>
    <n v="27"/>
    <x v="0"/>
    <x v="5"/>
  </r>
  <r>
    <n v="2453"/>
    <x v="33"/>
    <x v="0"/>
    <x v="5"/>
    <x v="0"/>
    <n v="67"/>
    <s v="New York"/>
    <x v="0"/>
    <x v="7"/>
    <x v="0"/>
    <x v="7"/>
    <x v="1"/>
    <x v="0"/>
    <x v="1"/>
    <x v="1"/>
    <n v="45"/>
    <x v="4"/>
    <x v="6"/>
  </r>
  <r>
    <n v="2454"/>
    <x v="3"/>
    <x v="0"/>
    <x v="1"/>
    <x v="0"/>
    <n v="95"/>
    <s v="Iowa"/>
    <x v="3"/>
    <x v="17"/>
    <x v="1"/>
    <x v="12"/>
    <x v="1"/>
    <x v="5"/>
    <x v="1"/>
    <x v="1"/>
    <n v="13"/>
    <x v="1"/>
    <x v="2"/>
  </r>
  <r>
    <n v="2455"/>
    <x v="45"/>
    <x v="0"/>
    <x v="24"/>
    <x v="3"/>
    <n v="72"/>
    <s v="Alaska"/>
    <x v="2"/>
    <x v="23"/>
    <x v="0"/>
    <x v="12"/>
    <x v="1"/>
    <x v="0"/>
    <x v="1"/>
    <x v="1"/>
    <n v="33"/>
    <x v="0"/>
    <x v="2"/>
  </r>
  <r>
    <n v="2456"/>
    <x v="30"/>
    <x v="0"/>
    <x v="22"/>
    <x v="3"/>
    <n v="98"/>
    <s v="Alaska"/>
    <x v="0"/>
    <x v="12"/>
    <x v="1"/>
    <x v="23"/>
    <x v="1"/>
    <x v="0"/>
    <x v="1"/>
    <x v="1"/>
    <n v="25"/>
    <x v="1"/>
    <x v="6"/>
  </r>
  <r>
    <n v="2457"/>
    <x v="35"/>
    <x v="0"/>
    <x v="2"/>
    <x v="0"/>
    <n v="83"/>
    <s v="Nebraska"/>
    <x v="2"/>
    <x v="14"/>
    <x v="0"/>
    <x v="13"/>
    <x v="1"/>
    <x v="4"/>
    <x v="1"/>
    <x v="1"/>
    <n v="5"/>
    <x v="3"/>
    <x v="5"/>
  </r>
  <r>
    <n v="2458"/>
    <x v="10"/>
    <x v="0"/>
    <x v="8"/>
    <x v="3"/>
    <n v="37"/>
    <s v="Delaware"/>
    <x v="2"/>
    <x v="1"/>
    <x v="3"/>
    <x v="15"/>
    <x v="1"/>
    <x v="4"/>
    <x v="1"/>
    <x v="1"/>
    <n v="23"/>
    <x v="1"/>
    <x v="3"/>
  </r>
  <r>
    <n v="2459"/>
    <x v="17"/>
    <x v="0"/>
    <x v="17"/>
    <x v="0"/>
    <n v="85"/>
    <s v="Texas"/>
    <x v="0"/>
    <x v="2"/>
    <x v="3"/>
    <x v="12"/>
    <x v="1"/>
    <x v="1"/>
    <x v="1"/>
    <x v="1"/>
    <n v="17"/>
    <x v="4"/>
    <x v="1"/>
  </r>
  <r>
    <n v="2460"/>
    <x v="36"/>
    <x v="0"/>
    <x v="20"/>
    <x v="0"/>
    <n v="36"/>
    <s v="Missouri"/>
    <x v="0"/>
    <x v="10"/>
    <x v="3"/>
    <x v="24"/>
    <x v="1"/>
    <x v="4"/>
    <x v="1"/>
    <x v="1"/>
    <n v="14"/>
    <x v="1"/>
    <x v="1"/>
  </r>
  <r>
    <n v="2461"/>
    <x v="44"/>
    <x v="0"/>
    <x v="2"/>
    <x v="0"/>
    <n v="36"/>
    <s v="Maine"/>
    <x v="1"/>
    <x v="12"/>
    <x v="0"/>
    <x v="17"/>
    <x v="1"/>
    <x v="5"/>
    <x v="1"/>
    <x v="1"/>
    <n v="28"/>
    <x v="2"/>
    <x v="2"/>
  </r>
  <r>
    <n v="2462"/>
    <x v="48"/>
    <x v="0"/>
    <x v="18"/>
    <x v="3"/>
    <n v="86"/>
    <s v="Pennsylvania"/>
    <x v="0"/>
    <x v="16"/>
    <x v="2"/>
    <x v="6"/>
    <x v="1"/>
    <x v="2"/>
    <x v="1"/>
    <x v="1"/>
    <n v="19"/>
    <x v="2"/>
    <x v="1"/>
  </r>
  <r>
    <n v="2463"/>
    <x v="33"/>
    <x v="0"/>
    <x v="13"/>
    <x v="0"/>
    <n v="99"/>
    <s v="Missouri"/>
    <x v="3"/>
    <x v="20"/>
    <x v="1"/>
    <x v="24"/>
    <x v="1"/>
    <x v="3"/>
    <x v="1"/>
    <x v="1"/>
    <n v="31"/>
    <x v="4"/>
    <x v="4"/>
  </r>
  <r>
    <n v="2464"/>
    <x v="52"/>
    <x v="0"/>
    <x v="0"/>
    <x v="0"/>
    <n v="21"/>
    <s v="Mississippi"/>
    <x v="3"/>
    <x v="21"/>
    <x v="2"/>
    <x v="13"/>
    <x v="1"/>
    <x v="3"/>
    <x v="1"/>
    <x v="1"/>
    <n v="25"/>
    <x v="1"/>
    <x v="4"/>
  </r>
  <r>
    <n v="2465"/>
    <x v="36"/>
    <x v="0"/>
    <x v="14"/>
    <x v="2"/>
    <n v="84"/>
    <s v="Hawaii"/>
    <x v="0"/>
    <x v="11"/>
    <x v="0"/>
    <x v="11"/>
    <x v="1"/>
    <x v="0"/>
    <x v="1"/>
    <x v="1"/>
    <n v="4"/>
    <x v="1"/>
    <x v="4"/>
  </r>
  <r>
    <n v="2466"/>
    <x v="20"/>
    <x v="0"/>
    <x v="3"/>
    <x v="1"/>
    <n v="63"/>
    <s v="Texas"/>
    <x v="2"/>
    <x v="18"/>
    <x v="1"/>
    <x v="14"/>
    <x v="1"/>
    <x v="1"/>
    <x v="1"/>
    <x v="1"/>
    <n v="20"/>
    <x v="4"/>
    <x v="1"/>
  </r>
  <r>
    <n v="2467"/>
    <x v="45"/>
    <x v="0"/>
    <x v="6"/>
    <x v="0"/>
    <n v="84"/>
    <s v="South Dakota"/>
    <x v="1"/>
    <x v="6"/>
    <x v="2"/>
    <x v="18"/>
    <x v="1"/>
    <x v="0"/>
    <x v="1"/>
    <x v="1"/>
    <n v="37"/>
    <x v="1"/>
    <x v="2"/>
  </r>
  <r>
    <n v="2468"/>
    <x v="7"/>
    <x v="0"/>
    <x v="6"/>
    <x v="0"/>
    <n v="72"/>
    <s v="New Jersey"/>
    <x v="2"/>
    <x v="12"/>
    <x v="1"/>
    <x v="15"/>
    <x v="1"/>
    <x v="0"/>
    <x v="1"/>
    <x v="1"/>
    <n v="28"/>
    <x v="2"/>
    <x v="2"/>
  </r>
  <r>
    <n v="2469"/>
    <x v="13"/>
    <x v="0"/>
    <x v="11"/>
    <x v="0"/>
    <n v="21"/>
    <s v="Connecticut"/>
    <x v="0"/>
    <x v="17"/>
    <x v="0"/>
    <x v="18"/>
    <x v="1"/>
    <x v="4"/>
    <x v="1"/>
    <x v="1"/>
    <n v="6"/>
    <x v="0"/>
    <x v="1"/>
  </r>
  <r>
    <n v="2470"/>
    <x v="33"/>
    <x v="0"/>
    <x v="3"/>
    <x v="1"/>
    <n v="92"/>
    <s v="Maryland"/>
    <x v="2"/>
    <x v="22"/>
    <x v="3"/>
    <x v="16"/>
    <x v="1"/>
    <x v="3"/>
    <x v="1"/>
    <x v="1"/>
    <n v="27"/>
    <x v="3"/>
    <x v="2"/>
  </r>
  <r>
    <n v="2471"/>
    <x v="0"/>
    <x v="0"/>
    <x v="0"/>
    <x v="0"/>
    <n v="72"/>
    <s v="Arizona"/>
    <x v="3"/>
    <x v="6"/>
    <x v="3"/>
    <x v="2"/>
    <x v="1"/>
    <x v="2"/>
    <x v="1"/>
    <x v="1"/>
    <n v="29"/>
    <x v="2"/>
    <x v="0"/>
  </r>
  <r>
    <n v="2472"/>
    <x v="11"/>
    <x v="0"/>
    <x v="3"/>
    <x v="1"/>
    <n v="83"/>
    <s v="Oklahoma"/>
    <x v="2"/>
    <x v="0"/>
    <x v="1"/>
    <x v="24"/>
    <x v="1"/>
    <x v="5"/>
    <x v="1"/>
    <x v="1"/>
    <n v="1"/>
    <x v="1"/>
    <x v="2"/>
  </r>
  <r>
    <n v="2473"/>
    <x v="41"/>
    <x v="0"/>
    <x v="5"/>
    <x v="0"/>
    <n v="73"/>
    <s v="Utah"/>
    <x v="2"/>
    <x v="15"/>
    <x v="2"/>
    <x v="7"/>
    <x v="1"/>
    <x v="3"/>
    <x v="1"/>
    <x v="1"/>
    <n v="31"/>
    <x v="2"/>
    <x v="2"/>
  </r>
  <r>
    <n v="2474"/>
    <x v="9"/>
    <x v="0"/>
    <x v="20"/>
    <x v="0"/>
    <n v="98"/>
    <s v="Arkansas"/>
    <x v="2"/>
    <x v="16"/>
    <x v="0"/>
    <x v="5"/>
    <x v="1"/>
    <x v="2"/>
    <x v="1"/>
    <x v="1"/>
    <n v="28"/>
    <x v="1"/>
    <x v="3"/>
  </r>
  <r>
    <n v="2475"/>
    <x v="51"/>
    <x v="0"/>
    <x v="17"/>
    <x v="0"/>
    <n v="76"/>
    <s v="North Carolina"/>
    <x v="2"/>
    <x v="8"/>
    <x v="3"/>
    <x v="4"/>
    <x v="1"/>
    <x v="5"/>
    <x v="1"/>
    <x v="1"/>
    <n v="19"/>
    <x v="4"/>
    <x v="3"/>
  </r>
  <r>
    <n v="2476"/>
    <x v="28"/>
    <x v="0"/>
    <x v="10"/>
    <x v="0"/>
    <n v="43"/>
    <s v="California"/>
    <x v="1"/>
    <x v="12"/>
    <x v="2"/>
    <x v="1"/>
    <x v="1"/>
    <x v="2"/>
    <x v="1"/>
    <x v="1"/>
    <n v="36"/>
    <x v="0"/>
    <x v="5"/>
  </r>
  <r>
    <n v="2477"/>
    <x v="52"/>
    <x v="0"/>
    <x v="19"/>
    <x v="3"/>
    <n v="60"/>
    <s v="Colorado"/>
    <x v="2"/>
    <x v="2"/>
    <x v="2"/>
    <x v="18"/>
    <x v="1"/>
    <x v="2"/>
    <x v="1"/>
    <x v="1"/>
    <n v="28"/>
    <x v="1"/>
    <x v="5"/>
  </r>
  <r>
    <n v="2478"/>
    <x v="15"/>
    <x v="0"/>
    <x v="24"/>
    <x v="3"/>
    <n v="40"/>
    <s v="California"/>
    <x v="0"/>
    <x v="2"/>
    <x v="1"/>
    <x v="22"/>
    <x v="1"/>
    <x v="4"/>
    <x v="1"/>
    <x v="1"/>
    <n v="29"/>
    <x v="3"/>
    <x v="1"/>
  </r>
  <r>
    <n v="2479"/>
    <x v="20"/>
    <x v="0"/>
    <x v="20"/>
    <x v="0"/>
    <n v="93"/>
    <s v="Vermont"/>
    <x v="1"/>
    <x v="1"/>
    <x v="0"/>
    <x v="6"/>
    <x v="1"/>
    <x v="4"/>
    <x v="1"/>
    <x v="1"/>
    <n v="9"/>
    <x v="4"/>
    <x v="6"/>
  </r>
  <r>
    <n v="2480"/>
    <x v="43"/>
    <x v="0"/>
    <x v="10"/>
    <x v="0"/>
    <n v="98"/>
    <s v="Kansas"/>
    <x v="1"/>
    <x v="8"/>
    <x v="3"/>
    <x v="19"/>
    <x v="1"/>
    <x v="3"/>
    <x v="1"/>
    <x v="1"/>
    <n v="26"/>
    <x v="2"/>
    <x v="6"/>
  </r>
  <r>
    <n v="2481"/>
    <x v="12"/>
    <x v="0"/>
    <x v="20"/>
    <x v="0"/>
    <n v="91"/>
    <s v="Ohio"/>
    <x v="3"/>
    <x v="1"/>
    <x v="2"/>
    <x v="3"/>
    <x v="1"/>
    <x v="2"/>
    <x v="1"/>
    <x v="1"/>
    <n v="7"/>
    <x v="2"/>
    <x v="0"/>
  </r>
  <r>
    <n v="2482"/>
    <x v="38"/>
    <x v="0"/>
    <x v="22"/>
    <x v="3"/>
    <n v="92"/>
    <s v="New Jersey"/>
    <x v="3"/>
    <x v="17"/>
    <x v="3"/>
    <x v="3"/>
    <x v="1"/>
    <x v="1"/>
    <x v="1"/>
    <x v="1"/>
    <n v="35"/>
    <x v="5"/>
    <x v="1"/>
  </r>
  <r>
    <n v="2483"/>
    <x v="28"/>
    <x v="0"/>
    <x v="8"/>
    <x v="3"/>
    <n v="87"/>
    <s v="Arizona"/>
    <x v="1"/>
    <x v="15"/>
    <x v="0"/>
    <x v="6"/>
    <x v="1"/>
    <x v="2"/>
    <x v="1"/>
    <x v="1"/>
    <n v="46"/>
    <x v="2"/>
    <x v="6"/>
  </r>
  <r>
    <n v="2484"/>
    <x v="45"/>
    <x v="0"/>
    <x v="11"/>
    <x v="0"/>
    <n v="96"/>
    <s v="Arizona"/>
    <x v="1"/>
    <x v="11"/>
    <x v="3"/>
    <x v="3"/>
    <x v="1"/>
    <x v="3"/>
    <x v="1"/>
    <x v="1"/>
    <n v="8"/>
    <x v="5"/>
    <x v="5"/>
  </r>
  <r>
    <n v="2485"/>
    <x v="52"/>
    <x v="0"/>
    <x v="15"/>
    <x v="0"/>
    <n v="97"/>
    <s v="New Hampshire"/>
    <x v="2"/>
    <x v="14"/>
    <x v="2"/>
    <x v="6"/>
    <x v="1"/>
    <x v="4"/>
    <x v="1"/>
    <x v="1"/>
    <n v="50"/>
    <x v="1"/>
    <x v="6"/>
  </r>
  <r>
    <n v="2486"/>
    <x v="49"/>
    <x v="0"/>
    <x v="0"/>
    <x v="0"/>
    <n v="55"/>
    <s v="Louisiana"/>
    <x v="2"/>
    <x v="19"/>
    <x v="1"/>
    <x v="12"/>
    <x v="1"/>
    <x v="4"/>
    <x v="1"/>
    <x v="1"/>
    <n v="37"/>
    <x v="4"/>
    <x v="2"/>
  </r>
  <r>
    <n v="2487"/>
    <x v="12"/>
    <x v="0"/>
    <x v="2"/>
    <x v="0"/>
    <n v="58"/>
    <s v="Texas"/>
    <x v="0"/>
    <x v="23"/>
    <x v="1"/>
    <x v="14"/>
    <x v="1"/>
    <x v="5"/>
    <x v="1"/>
    <x v="1"/>
    <n v="6"/>
    <x v="2"/>
    <x v="0"/>
  </r>
  <r>
    <n v="2488"/>
    <x v="9"/>
    <x v="0"/>
    <x v="23"/>
    <x v="1"/>
    <n v="21"/>
    <s v="Montana"/>
    <x v="0"/>
    <x v="10"/>
    <x v="1"/>
    <x v="21"/>
    <x v="1"/>
    <x v="2"/>
    <x v="1"/>
    <x v="1"/>
    <n v="16"/>
    <x v="3"/>
    <x v="4"/>
  </r>
  <r>
    <n v="2489"/>
    <x v="19"/>
    <x v="0"/>
    <x v="8"/>
    <x v="3"/>
    <n v="82"/>
    <s v="New Hampshire"/>
    <x v="3"/>
    <x v="4"/>
    <x v="2"/>
    <x v="14"/>
    <x v="1"/>
    <x v="0"/>
    <x v="1"/>
    <x v="1"/>
    <n v="30"/>
    <x v="3"/>
    <x v="5"/>
  </r>
  <r>
    <n v="2490"/>
    <x v="17"/>
    <x v="0"/>
    <x v="7"/>
    <x v="2"/>
    <n v="34"/>
    <s v="South Dakota"/>
    <x v="2"/>
    <x v="14"/>
    <x v="0"/>
    <x v="20"/>
    <x v="1"/>
    <x v="0"/>
    <x v="1"/>
    <x v="1"/>
    <n v="50"/>
    <x v="0"/>
    <x v="3"/>
  </r>
  <r>
    <n v="2491"/>
    <x v="16"/>
    <x v="0"/>
    <x v="0"/>
    <x v="0"/>
    <n v="78"/>
    <s v="Montana"/>
    <x v="2"/>
    <x v="0"/>
    <x v="1"/>
    <x v="17"/>
    <x v="1"/>
    <x v="1"/>
    <x v="1"/>
    <x v="1"/>
    <n v="5"/>
    <x v="1"/>
    <x v="6"/>
  </r>
  <r>
    <n v="2492"/>
    <x v="6"/>
    <x v="0"/>
    <x v="8"/>
    <x v="3"/>
    <n v="47"/>
    <s v="North Carolina"/>
    <x v="2"/>
    <x v="23"/>
    <x v="1"/>
    <x v="25"/>
    <x v="1"/>
    <x v="0"/>
    <x v="1"/>
    <x v="1"/>
    <n v="15"/>
    <x v="4"/>
    <x v="5"/>
  </r>
  <r>
    <n v="2493"/>
    <x v="2"/>
    <x v="0"/>
    <x v="12"/>
    <x v="3"/>
    <n v="96"/>
    <s v="South Dakota"/>
    <x v="1"/>
    <x v="5"/>
    <x v="2"/>
    <x v="7"/>
    <x v="1"/>
    <x v="2"/>
    <x v="1"/>
    <x v="1"/>
    <n v="34"/>
    <x v="4"/>
    <x v="4"/>
  </r>
  <r>
    <n v="2494"/>
    <x v="3"/>
    <x v="0"/>
    <x v="20"/>
    <x v="0"/>
    <n v="23"/>
    <s v="Maine"/>
    <x v="1"/>
    <x v="19"/>
    <x v="3"/>
    <x v="6"/>
    <x v="1"/>
    <x v="4"/>
    <x v="1"/>
    <x v="1"/>
    <n v="6"/>
    <x v="0"/>
    <x v="6"/>
  </r>
  <r>
    <n v="2495"/>
    <x v="32"/>
    <x v="0"/>
    <x v="9"/>
    <x v="1"/>
    <n v="27"/>
    <s v="Oklahoma"/>
    <x v="1"/>
    <x v="15"/>
    <x v="0"/>
    <x v="5"/>
    <x v="1"/>
    <x v="5"/>
    <x v="1"/>
    <x v="1"/>
    <n v="26"/>
    <x v="5"/>
    <x v="2"/>
  </r>
  <r>
    <n v="2496"/>
    <x v="37"/>
    <x v="0"/>
    <x v="21"/>
    <x v="3"/>
    <n v="37"/>
    <s v="Nebraska"/>
    <x v="3"/>
    <x v="20"/>
    <x v="1"/>
    <x v="0"/>
    <x v="1"/>
    <x v="1"/>
    <x v="1"/>
    <x v="1"/>
    <n v="34"/>
    <x v="2"/>
    <x v="6"/>
  </r>
  <r>
    <n v="2497"/>
    <x v="29"/>
    <x v="0"/>
    <x v="18"/>
    <x v="3"/>
    <n v="79"/>
    <s v="Illinois"/>
    <x v="1"/>
    <x v="22"/>
    <x v="2"/>
    <x v="4"/>
    <x v="1"/>
    <x v="5"/>
    <x v="1"/>
    <x v="1"/>
    <n v="37"/>
    <x v="2"/>
    <x v="1"/>
  </r>
  <r>
    <n v="2498"/>
    <x v="25"/>
    <x v="0"/>
    <x v="21"/>
    <x v="3"/>
    <n v="40"/>
    <s v="Colorado"/>
    <x v="2"/>
    <x v="10"/>
    <x v="2"/>
    <x v="19"/>
    <x v="1"/>
    <x v="3"/>
    <x v="1"/>
    <x v="1"/>
    <n v="28"/>
    <x v="4"/>
    <x v="2"/>
  </r>
  <r>
    <n v="2499"/>
    <x v="20"/>
    <x v="0"/>
    <x v="7"/>
    <x v="2"/>
    <n v="39"/>
    <s v="Massachusetts"/>
    <x v="1"/>
    <x v="14"/>
    <x v="3"/>
    <x v="5"/>
    <x v="1"/>
    <x v="2"/>
    <x v="1"/>
    <x v="1"/>
    <n v="38"/>
    <x v="1"/>
    <x v="0"/>
  </r>
  <r>
    <n v="2500"/>
    <x v="16"/>
    <x v="0"/>
    <x v="15"/>
    <x v="0"/>
    <n v="73"/>
    <s v="Louisiana"/>
    <x v="0"/>
    <x v="6"/>
    <x v="2"/>
    <x v="0"/>
    <x v="1"/>
    <x v="2"/>
    <x v="1"/>
    <x v="1"/>
    <n v="2"/>
    <x v="1"/>
    <x v="3"/>
  </r>
  <r>
    <n v="2501"/>
    <x v="35"/>
    <x v="0"/>
    <x v="24"/>
    <x v="3"/>
    <n v="84"/>
    <s v="Massachusetts"/>
    <x v="2"/>
    <x v="10"/>
    <x v="3"/>
    <x v="3"/>
    <x v="1"/>
    <x v="5"/>
    <x v="1"/>
    <x v="1"/>
    <n v="32"/>
    <x v="1"/>
    <x v="4"/>
  </r>
  <r>
    <n v="2502"/>
    <x v="34"/>
    <x v="0"/>
    <x v="6"/>
    <x v="0"/>
    <n v="94"/>
    <s v="West Virginia"/>
    <x v="2"/>
    <x v="10"/>
    <x v="3"/>
    <x v="12"/>
    <x v="1"/>
    <x v="1"/>
    <x v="1"/>
    <x v="1"/>
    <n v="30"/>
    <x v="0"/>
    <x v="4"/>
  </r>
  <r>
    <n v="2503"/>
    <x v="5"/>
    <x v="0"/>
    <x v="11"/>
    <x v="0"/>
    <n v="47"/>
    <s v="Idaho"/>
    <x v="0"/>
    <x v="6"/>
    <x v="1"/>
    <x v="7"/>
    <x v="1"/>
    <x v="3"/>
    <x v="1"/>
    <x v="1"/>
    <n v="17"/>
    <x v="3"/>
    <x v="6"/>
  </r>
  <r>
    <n v="2504"/>
    <x v="28"/>
    <x v="0"/>
    <x v="23"/>
    <x v="1"/>
    <n v="77"/>
    <s v="Ohio"/>
    <x v="2"/>
    <x v="10"/>
    <x v="2"/>
    <x v="25"/>
    <x v="1"/>
    <x v="5"/>
    <x v="1"/>
    <x v="1"/>
    <n v="5"/>
    <x v="5"/>
    <x v="4"/>
  </r>
  <r>
    <n v="2505"/>
    <x v="19"/>
    <x v="0"/>
    <x v="6"/>
    <x v="0"/>
    <n v="94"/>
    <s v="Rhode Island"/>
    <x v="2"/>
    <x v="2"/>
    <x v="0"/>
    <x v="17"/>
    <x v="1"/>
    <x v="5"/>
    <x v="1"/>
    <x v="1"/>
    <n v="31"/>
    <x v="1"/>
    <x v="4"/>
  </r>
  <r>
    <n v="2506"/>
    <x v="7"/>
    <x v="0"/>
    <x v="8"/>
    <x v="3"/>
    <n v="75"/>
    <s v="Illinois"/>
    <x v="2"/>
    <x v="17"/>
    <x v="2"/>
    <x v="1"/>
    <x v="1"/>
    <x v="0"/>
    <x v="1"/>
    <x v="1"/>
    <n v="43"/>
    <x v="3"/>
    <x v="3"/>
  </r>
  <r>
    <n v="2507"/>
    <x v="9"/>
    <x v="0"/>
    <x v="10"/>
    <x v="0"/>
    <n v="82"/>
    <s v="New York"/>
    <x v="3"/>
    <x v="20"/>
    <x v="1"/>
    <x v="14"/>
    <x v="1"/>
    <x v="1"/>
    <x v="1"/>
    <x v="1"/>
    <n v="19"/>
    <x v="0"/>
    <x v="2"/>
  </r>
  <r>
    <n v="2508"/>
    <x v="44"/>
    <x v="0"/>
    <x v="9"/>
    <x v="1"/>
    <n v="36"/>
    <s v="Louisiana"/>
    <x v="2"/>
    <x v="17"/>
    <x v="3"/>
    <x v="3"/>
    <x v="1"/>
    <x v="5"/>
    <x v="1"/>
    <x v="1"/>
    <n v="32"/>
    <x v="2"/>
    <x v="6"/>
  </r>
  <r>
    <n v="2509"/>
    <x v="51"/>
    <x v="0"/>
    <x v="4"/>
    <x v="1"/>
    <n v="90"/>
    <s v="California"/>
    <x v="3"/>
    <x v="21"/>
    <x v="1"/>
    <x v="0"/>
    <x v="1"/>
    <x v="4"/>
    <x v="1"/>
    <x v="1"/>
    <n v="5"/>
    <x v="5"/>
    <x v="4"/>
  </r>
  <r>
    <n v="2510"/>
    <x v="1"/>
    <x v="0"/>
    <x v="20"/>
    <x v="0"/>
    <n v="48"/>
    <s v="Washington"/>
    <x v="2"/>
    <x v="13"/>
    <x v="1"/>
    <x v="14"/>
    <x v="1"/>
    <x v="1"/>
    <x v="1"/>
    <x v="1"/>
    <n v="9"/>
    <x v="4"/>
    <x v="3"/>
  </r>
  <r>
    <n v="2511"/>
    <x v="37"/>
    <x v="0"/>
    <x v="14"/>
    <x v="2"/>
    <n v="42"/>
    <s v="South Dakota"/>
    <x v="0"/>
    <x v="7"/>
    <x v="0"/>
    <x v="14"/>
    <x v="1"/>
    <x v="3"/>
    <x v="1"/>
    <x v="1"/>
    <n v="48"/>
    <x v="2"/>
    <x v="1"/>
  </r>
  <r>
    <n v="2512"/>
    <x v="22"/>
    <x v="0"/>
    <x v="21"/>
    <x v="3"/>
    <n v="33"/>
    <s v="Idaho"/>
    <x v="2"/>
    <x v="17"/>
    <x v="2"/>
    <x v="2"/>
    <x v="1"/>
    <x v="5"/>
    <x v="1"/>
    <x v="1"/>
    <n v="1"/>
    <x v="3"/>
    <x v="3"/>
  </r>
  <r>
    <n v="2513"/>
    <x v="2"/>
    <x v="0"/>
    <x v="20"/>
    <x v="0"/>
    <n v="63"/>
    <s v="North Dakota"/>
    <x v="2"/>
    <x v="14"/>
    <x v="2"/>
    <x v="8"/>
    <x v="1"/>
    <x v="1"/>
    <x v="1"/>
    <x v="1"/>
    <n v="20"/>
    <x v="2"/>
    <x v="5"/>
  </r>
  <r>
    <n v="2514"/>
    <x v="28"/>
    <x v="0"/>
    <x v="8"/>
    <x v="3"/>
    <n v="53"/>
    <s v="Washington"/>
    <x v="0"/>
    <x v="11"/>
    <x v="0"/>
    <x v="1"/>
    <x v="1"/>
    <x v="4"/>
    <x v="1"/>
    <x v="1"/>
    <n v="42"/>
    <x v="1"/>
    <x v="2"/>
  </r>
  <r>
    <n v="2515"/>
    <x v="32"/>
    <x v="0"/>
    <x v="19"/>
    <x v="3"/>
    <n v="37"/>
    <s v="Alaska"/>
    <x v="0"/>
    <x v="11"/>
    <x v="1"/>
    <x v="6"/>
    <x v="1"/>
    <x v="1"/>
    <x v="1"/>
    <x v="1"/>
    <n v="45"/>
    <x v="3"/>
    <x v="4"/>
  </r>
  <r>
    <n v="2516"/>
    <x v="43"/>
    <x v="0"/>
    <x v="0"/>
    <x v="0"/>
    <n v="92"/>
    <s v="Kansas"/>
    <x v="2"/>
    <x v="23"/>
    <x v="2"/>
    <x v="19"/>
    <x v="1"/>
    <x v="4"/>
    <x v="1"/>
    <x v="1"/>
    <n v="41"/>
    <x v="1"/>
    <x v="5"/>
  </r>
  <r>
    <n v="2517"/>
    <x v="5"/>
    <x v="0"/>
    <x v="6"/>
    <x v="0"/>
    <n v="73"/>
    <s v="Utah"/>
    <x v="3"/>
    <x v="18"/>
    <x v="1"/>
    <x v="12"/>
    <x v="1"/>
    <x v="3"/>
    <x v="1"/>
    <x v="1"/>
    <n v="36"/>
    <x v="5"/>
    <x v="3"/>
  </r>
  <r>
    <n v="2518"/>
    <x v="14"/>
    <x v="0"/>
    <x v="5"/>
    <x v="0"/>
    <n v="38"/>
    <s v="Wyoming"/>
    <x v="0"/>
    <x v="20"/>
    <x v="1"/>
    <x v="3"/>
    <x v="1"/>
    <x v="3"/>
    <x v="1"/>
    <x v="1"/>
    <n v="10"/>
    <x v="0"/>
    <x v="2"/>
  </r>
  <r>
    <n v="2519"/>
    <x v="30"/>
    <x v="0"/>
    <x v="23"/>
    <x v="1"/>
    <n v="51"/>
    <s v="Maine"/>
    <x v="3"/>
    <x v="24"/>
    <x v="3"/>
    <x v="17"/>
    <x v="1"/>
    <x v="5"/>
    <x v="1"/>
    <x v="1"/>
    <n v="31"/>
    <x v="0"/>
    <x v="2"/>
  </r>
  <r>
    <n v="2520"/>
    <x v="37"/>
    <x v="0"/>
    <x v="14"/>
    <x v="2"/>
    <n v="90"/>
    <s v="Michigan"/>
    <x v="0"/>
    <x v="23"/>
    <x v="1"/>
    <x v="8"/>
    <x v="1"/>
    <x v="3"/>
    <x v="1"/>
    <x v="1"/>
    <n v="21"/>
    <x v="2"/>
    <x v="3"/>
  </r>
  <r>
    <n v="2521"/>
    <x v="14"/>
    <x v="0"/>
    <x v="14"/>
    <x v="2"/>
    <n v="56"/>
    <s v="Illinois"/>
    <x v="0"/>
    <x v="23"/>
    <x v="2"/>
    <x v="0"/>
    <x v="1"/>
    <x v="2"/>
    <x v="1"/>
    <x v="1"/>
    <n v="16"/>
    <x v="1"/>
    <x v="6"/>
  </r>
  <r>
    <n v="2522"/>
    <x v="26"/>
    <x v="0"/>
    <x v="8"/>
    <x v="3"/>
    <n v="33"/>
    <s v="Minnesota"/>
    <x v="2"/>
    <x v="23"/>
    <x v="3"/>
    <x v="14"/>
    <x v="1"/>
    <x v="3"/>
    <x v="1"/>
    <x v="1"/>
    <n v="18"/>
    <x v="3"/>
    <x v="6"/>
  </r>
  <r>
    <n v="2523"/>
    <x v="30"/>
    <x v="0"/>
    <x v="22"/>
    <x v="3"/>
    <n v="53"/>
    <s v="Massachusetts"/>
    <x v="1"/>
    <x v="8"/>
    <x v="0"/>
    <x v="25"/>
    <x v="1"/>
    <x v="4"/>
    <x v="1"/>
    <x v="1"/>
    <n v="20"/>
    <x v="5"/>
    <x v="1"/>
  </r>
  <r>
    <n v="2524"/>
    <x v="49"/>
    <x v="0"/>
    <x v="8"/>
    <x v="3"/>
    <n v="24"/>
    <s v="New Jersey"/>
    <x v="1"/>
    <x v="17"/>
    <x v="1"/>
    <x v="23"/>
    <x v="1"/>
    <x v="0"/>
    <x v="1"/>
    <x v="1"/>
    <n v="21"/>
    <x v="4"/>
    <x v="2"/>
  </r>
  <r>
    <n v="2525"/>
    <x v="52"/>
    <x v="0"/>
    <x v="7"/>
    <x v="2"/>
    <n v="59"/>
    <s v="Kansas"/>
    <x v="2"/>
    <x v="7"/>
    <x v="1"/>
    <x v="18"/>
    <x v="1"/>
    <x v="0"/>
    <x v="1"/>
    <x v="1"/>
    <n v="23"/>
    <x v="2"/>
    <x v="3"/>
  </r>
  <r>
    <n v="2526"/>
    <x v="31"/>
    <x v="0"/>
    <x v="1"/>
    <x v="0"/>
    <n v="72"/>
    <s v="Kentucky"/>
    <x v="2"/>
    <x v="7"/>
    <x v="0"/>
    <x v="19"/>
    <x v="1"/>
    <x v="3"/>
    <x v="1"/>
    <x v="1"/>
    <n v="20"/>
    <x v="3"/>
    <x v="1"/>
  </r>
  <r>
    <n v="2527"/>
    <x v="36"/>
    <x v="0"/>
    <x v="6"/>
    <x v="0"/>
    <n v="28"/>
    <s v="Rhode Island"/>
    <x v="1"/>
    <x v="15"/>
    <x v="1"/>
    <x v="23"/>
    <x v="1"/>
    <x v="0"/>
    <x v="1"/>
    <x v="1"/>
    <n v="30"/>
    <x v="3"/>
    <x v="4"/>
  </r>
  <r>
    <n v="2528"/>
    <x v="1"/>
    <x v="0"/>
    <x v="13"/>
    <x v="0"/>
    <n v="36"/>
    <s v="Illinois"/>
    <x v="2"/>
    <x v="9"/>
    <x v="3"/>
    <x v="15"/>
    <x v="1"/>
    <x v="0"/>
    <x v="1"/>
    <x v="1"/>
    <n v="33"/>
    <x v="4"/>
    <x v="6"/>
  </r>
  <r>
    <n v="2529"/>
    <x v="16"/>
    <x v="0"/>
    <x v="16"/>
    <x v="3"/>
    <n v="47"/>
    <s v="Alabama"/>
    <x v="1"/>
    <x v="15"/>
    <x v="3"/>
    <x v="10"/>
    <x v="1"/>
    <x v="4"/>
    <x v="1"/>
    <x v="1"/>
    <n v="31"/>
    <x v="5"/>
    <x v="5"/>
  </r>
  <r>
    <n v="2530"/>
    <x v="50"/>
    <x v="0"/>
    <x v="24"/>
    <x v="3"/>
    <n v="62"/>
    <s v="Tennessee"/>
    <x v="2"/>
    <x v="23"/>
    <x v="1"/>
    <x v="10"/>
    <x v="1"/>
    <x v="2"/>
    <x v="1"/>
    <x v="1"/>
    <n v="48"/>
    <x v="4"/>
    <x v="5"/>
  </r>
  <r>
    <n v="2531"/>
    <x v="15"/>
    <x v="0"/>
    <x v="11"/>
    <x v="0"/>
    <n v="98"/>
    <s v="Massachusetts"/>
    <x v="1"/>
    <x v="17"/>
    <x v="1"/>
    <x v="15"/>
    <x v="1"/>
    <x v="1"/>
    <x v="1"/>
    <x v="1"/>
    <n v="28"/>
    <x v="5"/>
    <x v="1"/>
  </r>
  <r>
    <n v="2532"/>
    <x v="49"/>
    <x v="0"/>
    <x v="3"/>
    <x v="1"/>
    <n v="28"/>
    <s v="Texas"/>
    <x v="2"/>
    <x v="10"/>
    <x v="2"/>
    <x v="12"/>
    <x v="1"/>
    <x v="1"/>
    <x v="1"/>
    <x v="1"/>
    <n v="7"/>
    <x v="1"/>
    <x v="6"/>
  </r>
  <r>
    <n v="2533"/>
    <x v="0"/>
    <x v="0"/>
    <x v="20"/>
    <x v="0"/>
    <n v="86"/>
    <s v="Nebraska"/>
    <x v="1"/>
    <x v="4"/>
    <x v="2"/>
    <x v="5"/>
    <x v="1"/>
    <x v="2"/>
    <x v="1"/>
    <x v="1"/>
    <n v="4"/>
    <x v="5"/>
    <x v="1"/>
  </r>
  <r>
    <n v="2534"/>
    <x v="17"/>
    <x v="0"/>
    <x v="16"/>
    <x v="3"/>
    <n v="46"/>
    <s v="Pennsylvania"/>
    <x v="1"/>
    <x v="24"/>
    <x v="2"/>
    <x v="0"/>
    <x v="1"/>
    <x v="3"/>
    <x v="1"/>
    <x v="1"/>
    <n v="49"/>
    <x v="1"/>
    <x v="4"/>
  </r>
  <r>
    <n v="2535"/>
    <x v="38"/>
    <x v="0"/>
    <x v="12"/>
    <x v="3"/>
    <n v="42"/>
    <s v="Virginia"/>
    <x v="3"/>
    <x v="16"/>
    <x v="3"/>
    <x v="4"/>
    <x v="1"/>
    <x v="1"/>
    <x v="1"/>
    <x v="1"/>
    <n v="22"/>
    <x v="1"/>
    <x v="1"/>
  </r>
  <r>
    <n v="2536"/>
    <x v="36"/>
    <x v="0"/>
    <x v="7"/>
    <x v="2"/>
    <n v="80"/>
    <s v="Vermont"/>
    <x v="1"/>
    <x v="7"/>
    <x v="0"/>
    <x v="20"/>
    <x v="1"/>
    <x v="0"/>
    <x v="1"/>
    <x v="1"/>
    <n v="39"/>
    <x v="4"/>
    <x v="0"/>
  </r>
  <r>
    <n v="2537"/>
    <x v="47"/>
    <x v="0"/>
    <x v="22"/>
    <x v="3"/>
    <n v="39"/>
    <s v="Oklahoma"/>
    <x v="0"/>
    <x v="0"/>
    <x v="1"/>
    <x v="8"/>
    <x v="1"/>
    <x v="0"/>
    <x v="1"/>
    <x v="1"/>
    <n v="45"/>
    <x v="3"/>
    <x v="6"/>
  </r>
  <r>
    <n v="2538"/>
    <x v="42"/>
    <x v="0"/>
    <x v="7"/>
    <x v="2"/>
    <n v="49"/>
    <s v="Maine"/>
    <x v="2"/>
    <x v="7"/>
    <x v="2"/>
    <x v="7"/>
    <x v="1"/>
    <x v="4"/>
    <x v="1"/>
    <x v="1"/>
    <n v="30"/>
    <x v="3"/>
    <x v="0"/>
  </r>
  <r>
    <n v="2539"/>
    <x v="20"/>
    <x v="0"/>
    <x v="18"/>
    <x v="3"/>
    <n v="32"/>
    <s v="New Jersey"/>
    <x v="2"/>
    <x v="5"/>
    <x v="2"/>
    <x v="19"/>
    <x v="1"/>
    <x v="2"/>
    <x v="1"/>
    <x v="1"/>
    <n v="33"/>
    <x v="2"/>
    <x v="4"/>
  </r>
  <r>
    <n v="2540"/>
    <x v="23"/>
    <x v="0"/>
    <x v="3"/>
    <x v="1"/>
    <n v="73"/>
    <s v="Massachusetts"/>
    <x v="2"/>
    <x v="7"/>
    <x v="3"/>
    <x v="7"/>
    <x v="1"/>
    <x v="2"/>
    <x v="1"/>
    <x v="1"/>
    <n v="24"/>
    <x v="1"/>
    <x v="4"/>
  </r>
  <r>
    <n v="2541"/>
    <x v="41"/>
    <x v="0"/>
    <x v="22"/>
    <x v="3"/>
    <n v="42"/>
    <s v="New Jersey"/>
    <x v="2"/>
    <x v="4"/>
    <x v="2"/>
    <x v="20"/>
    <x v="1"/>
    <x v="1"/>
    <x v="1"/>
    <x v="1"/>
    <n v="11"/>
    <x v="5"/>
    <x v="3"/>
  </r>
  <r>
    <n v="2542"/>
    <x v="23"/>
    <x v="0"/>
    <x v="18"/>
    <x v="3"/>
    <n v="58"/>
    <s v="Washington"/>
    <x v="2"/>
    <x v="5"/>
    <x v="1"/>
    <x v="2"/>
    <x v="1"/>
    <x v="2"/>
    <x v="1"/>
    <x v="1"/>
    <n v="13"/>
    <x v="0"/>
    <x v="6"/>
  </r>
  <r>
    <n v="2543"/>
    <x v="12"/>
    <x v="0"/>
    <x v="16"/>
    <x v="3"/>
    <n v="22"/>
    <s v="Arkansas"/>
    <x v="2"/>
    <x v="3"/>
    <x v="0"/>
    <x v="18"/>
    <x v="1"/>
    <x v="0"/>
    <x v="1"/>
    <x v="1"/>
    <n v="27"/>
    <x v="3"/>
    <x v="2"/>
  </r>
  <r>
    <n v="2544"/>
    <x v="7"/>
    <x v="0"/>
    <x v="18"/>
    <x v="3"/>
    <n v="56"/>
    <s v="West Virginia"/>
    <x v="0"/>
    <x v="15"/>
    <x v="1"/>
    <x v="2"/>
    <x v="1"/>
    <x v="2"/>
    <x v="1"/>
    <x v="1"/>
    <n v="30"/>
    <x v="3"/>
    <x v="4"/>
  </r>
  <r>
    <n v="2545"/>
    <x v="5"/>
    <x v="0"/>
    <x v="13"/>
    <x v="0"/>
    <n v="70"/>
    <s v="Delaware"/>
    <x v="2"/>
    <x v="16"/>
    <x v="1"/>
    <x v="25"/>
    <x v="1"/>
    <x v="2"/>
    <x v="1"/>
    <x v="1"/>
    <n v="39"/>
    <x v="0"/>
    <x v="3"/>
  </r>
  <r>
    <n v="2546"/>
    <x v="21"/>
    <x v="0"/>
    <x v="9"/>
    <x v="1"/>
    <n v="50"/>
    <s v="Texas"/>
    <x v="0"/>
    <x v="8"/>
    <x v="1"/>
    <x v="20"/>
    <x v="1"/>
    <x v="1"/>
    <x v="1"/>
    <x v="1"/>
    <n v="10"/>
    <x v="5"/>
    <x v="2"/>
  </r>
  <r>
    <n v="2547"/>
    <x v="6"/>
    <x v="0"/>
    <x v="23"/>
    <x v="1"/>
    <n v="21"/>
    <s v="Texas"/>
    <x v="0"/>
    <x v="0"/>
    <x v="2"/>
    <x v="21"/>
    <x v="1"/>
    <x v="0"/>
    <x v="1"/>
    <x v="1"/>
    <n v="4"/>
    <x v="2"/>
    <x v="3"/>
  </r>
  <r>
    <n v="2548"/>
    <x v="36"/>
    <x v="0"/>
    <x v="14"/>
    <x v="2"/>
    <n v="97"/>
    <s v="Mississippi"/>
    <x v="2"/>
    <x v="19"/>
    <x v="2"/>
    <x v="4"/>
    <x v="1"/>
    <x v="4"/>
    <x v="1"/>
    <x v="1"/>
    <n v="16"/>
    <x v="1"/>
    <x v="1"/>
  </r>
  <r>
    <n v="2549"/>
    <x v="32"/>
    <x v="0"/>
    <x v="21"/>
    <x v="3"/>
    <n v="63"/>
    <s v="Texas"/>
    <x v="0"/>
    <x v="6"/>
    <x v="0"/>
    <x v="22"/>
    <x v="1"/>
    <x v="3"/>
    <x v="1"/>
    <x v="1"/>
    <n v="34"/>
    <x v="2"/>
    <x v="5"/>
  </r>
  <r>
    <n v="2550"/>
    <x v="38"/>
    <x v="0"/>
    <x v="14"/>
    <x v="2"/>
    <n v="60"/>
    <s v="Virginia"/>
    <x v="2"/>
    <x v="16"/>
    <x v="3"/>
    <x v="2"/>
    <x v="1"/>
    <x v="3"/>
    <x v="1"/>
    <x v="1"/>
    <n v="11"/>
    <x v="5"/>
    <x v="6"/>
  </r>
  <r>
    <n v="2551"/>
    <x v="10"/>
    <x v="0"/>
    <x v="23"/>
    <x v="1"/>
    <n v="52"/>
    <s v="New Hampshire"/>
    <x v="3"/>
    <x v="15"/>
    <x v="3"/>
    <x v="21"/>
    <x v="1"/>
    <x v="5"/>
    <x v="1"/>
    <x v="1"/>
    <n v="30"/>
    <x v="5"/>
    <x v="0"/>
  </r>
  <r>
    <n v="2552"/>
    <x v="26"/>
    <x v="0"/>
    <x v="9"/>
    <x v="1"/>
    <n v="32"/>
    <s v="Minnesota"/>
    <x v="2"/>
    <x v="1"/>
    <x v="0"/>
    <x v="7"/>
    <x v="1"/>
    <x v="2"/>
    <x v="1"/>
    <x v="1"/>
    <n v="40"/>
    <x v="5"/>
    <x v="2"/>
  </r>
  <r>
    <n v="2553"/>
    <x v="12"/>
    <x v="0"/>
    <x v="22"/>
    <x v="3"/>
    <n v="48"/>
    <s v="Maryland"/>
    <x v="3"/>
    <x v="7"/>
    <x v="1"/>
    <x v="4"/>
    <x v="1"/>
    <x v="4"/>
    <x v="1"/>
    <x v="1"/>
    <n v="13"/>
    <x v="2"/>
    <x v="2"/>
  </r>
  <r>
    <n v="2554"/>
    <x v="28"/>
    <x v="0"/>
    <x v="16"/>
    <x v="3"/>
    <n v="25"/>
    <s v="Vermont"/>
    <x v="2"/>
    <x v="1"/>
    <x v="2"/>
    <x v="9"/>
    <x v="1"/>
    <x v="5"/>
    <x v="1"/>
    <x v="1"/>
    <n v="28"/>
    <x v="0"/>
    <x v="6"/>
  </r>
  <r>
    <n v="2555"/>
    <x v="47"/>
    <x v="0"/>
    <x v="16"/>
    <x v="3"/>
    <n v="68"/>
    <s v="Kansas"/>
    <x v="2"/>
    <x v="0"/>
    <x v="2"/>
    <x v="24"/>
    <x v="1"/>
    <x v="5"/>
    <x v="1"/>
    <x v="1"/>
    <n v="49"/>
    <x v="5"/>
    <x v="4"/>
  </r>
  <r>
    <n v="2556"/>
    <x v="41"/>
    <x v="0"/>
    <x v="13"/>
    <x v="0"/>
    <n v="74"/>
    <s v="Idaho"/>
    <x v="2"/>
    <x v="0"/>
    <x v="3"/>
    <x v="1"/>
    <x v="1"/>
    <x v="3"/>
    <x v="1"/>
    <x v="1"/>
    <n v="23"/>
    <x v="2"/>
    <x v="1"/>
  </r>
  <r>
    <n v="2557"/>
    <x v="41"/>
    <x v="0"/>
    <x v="17"/>
    <x v="0"/>
    <n v="88"/>
    <s v="Montana"/>
    <x v="3"/>
    <x v="23"/>
    <x v="3"/>
    <x v="0"/>
    <x v="1"/>
    <x v="3"/>
    <x v="1"/>
    <x v="1"/>
    <n v="4"/>
    <x v="4"/>
    <x v="3"/>
  </r>
  <r>
    <n v="2558"/>
    <x v="27"/>
    <x v="0"/>
    <x v="6"/>
    <x v="0"/>
    <n v="23"/>
    <s v="Oklahoma"/>
    <x v="0"/>
    <x v="17"/>
    <x v="1"/>
    <x v="20"/>
    <x v="1"/>
    <x v="3"/>
    <x v="1"/>
    <x v="1"/>
    <n v="17"/>
    <x v="3"/>
    <x v="0"/>
  </r>
  <r>
    <n v="2559"/>
    <x v="34"/>
    <x v="0"/>
    <x v="15"/>
    <x v="0"/>
    <n v="32"/>
    <s v="California"/>
    <x v="2"/>
    <x v="5"/>
    <x v="3"/>
    <x v="2"/>
    <x v="1"/>
    <x v="0"/>
    <x v="1"/>
    <x v="1"/>
    <n v="24"/>
    <x v="3"/>
    <x v="0"/>
  </r>
  <r>
    <n v="2560"/>
    <x v="39"/>
    <x v="0"/>
    <x v="22"/>
    <x v="3"/>
    <n v="71"/>
    <s v="Mississippi"/>
    <x v="1"/>
    <x v="14"/>
    <x v="0"/>
    <x v="17"/>
    <x v="1"/>
    <x v="1"/>
    <x v="1"/>
    <x v="1"/>
    <n v="21"/>
    <x v="5"/>
    <x v="6"/>
  </r>
  <r>
    <n v="2561"/>
    <x v="44"/>
    <x v="0"/>
    <x v="23"/>
    <x v="1"/>
    <n v="62"/>
    <s v="California"/>
    <x v="2"/>
    <x v="10"/>
    <x v="1"/>
    <x v="2"/>
    <x v="1"/>
    <x v="2"/>
    <x v="1"/>
    <x v="1"/>
    <n v="17"/>
    <x v="5"/>
    <x v="4"/>
  </r>
  <r>
    <n v="2562"/>
    <x v="45"/>
    <x v="0"/>
    <x v="15"/>
    <x v="0"/>
    <n v="20"/>
    <s v="New York"/>
    <x v="0"/>
    <x v="23"/>
    <x v="1"/>
    <x v="2"/>
    <x v="1"/>
    <x v="1"/>
    <x v="1"/>
    <x v="1"/>
    <n v="22"/>
    <x v="5"/>
    <x v="3"/>
  </r>
  <r>
    <n v="2563"/>
    <x v="9"/>
    <x v="0"/>
    <x v="6"/>
    <x v="0"/>
    <n v="62"/>
    <s v="Arizona"/>
    <x v="3"/>
    <x v="22"/>
    <x v="1"/>
    <x v="10"/>
    <x v="1"/>
    <x v="3"/>
    <x v="1"/>
    <x v="1"/>
    <n v="27"/>
    <x v="1"/>
    <x v="0"/>
  </r>
  <r>
    <n v="2564"/>
    <x v="28"/>
    <x v="0"/>
    <x v="21"/>
    <x v="3"/>
    <n v="81"/>
    <s v="Massachusetts"/>
    <x v="3"/>
    <x v="0"/>
    <x v="0"/>
    <x v="9"/>
    <x v="1"/>
    <x v="3"/>
    <x v="1"/>
    <x v="1"/>
    <n v="1"/>
    <x v="0"/>
    <x v="6"/>
  </r>
  <r>
    <n v="2565"/>
    <x v="32"/>
    <x v="0"/>
    <x v="18"/>
    <x v="3"/>
    <n v="90"/>
    <s v="Kentucky"/>
    <x v="0"/>
    <x v="21"/>
    <x v="0"/>
    <x v="21"/>
    <x v="1"/>
    <x v="4"/>
    <x v="1"/>
    <x v="1"/>
    <n v="27"/>
    <x v="4"/>
    <x v="1"/>
  </r>
  <r>
    <n v="2566"/>
    <x v="11"/>
    <x v="0"/>
    <x v="20"/>
    <x v="0"/>
    <n v="43"/>
    <s v="Vermont"/>
    <x v="1"/>
    <x v="21"/>
    <x v="3"/>
    <x v="15"/>
    <x v="1"/>
    <x v="5"/>
    <x v="1"/>
    <x v="1"/>
    <n v="8"/>
    <x v="0"/>
    <x v="3"/>
  </r>
  <r>
    <n v="2567"/>
    <x v="25"/>
    <x v="0"/>
    <x v="8"/>
    <x v="3"/>
    <n v="38"/>
    <s v="Missouri"/>
    <x v="1"/>
    <x v="22"/>
    <x v="3"/>
    <x v="13"/>
    <x v="1"/>
    <x v="3"/>
    <x v="1"/>
    <x v="1"/>
    <n v="43"/>
    <x v="3"/>
    <x v="3"/>
  </r>
  <r>
    <n v="2568"/>
    <x v="1"/>
    <x v="0"/>
    <x v="12"/>
    <x v="3"/>
    <n v="25"/>
    <s v="Michigan"/>
    <x v="3"/>
    <x v="9"/>
    <x v="1"/>
    <x v="24"/>
    <x v="1"/>
    <x v="5"/>
    <x v="1"/>
    <x v="1"/>
    <n v="24"/>
    <x v="1"/>
    <x v="0"/>
  </r>
  <r>
    <n v="2569"/>
    <x v="16"/>
    <x v="0"/>
    <x v="17"/>
    <x v="0"/>
    <n v="98"/>
    <s v="Texas"/>
    <x v="3"/>
    <x v="14"/>
    <x v="0"/>
    <x v="24"/>
    <x v="1"/>
    <x v="0"/>
    <x v="1"/>
    <x v="1"/>
    <n v="29"/>
    <x v="3"/>
    <x v="0"/>
  </r>
  <r>
    <n v="2570"/>
    <x v="32"/>
    <x v="0"/>
    <x v="10"/>
    <x v="0"/>
    <n v="75"/>
    <s v="New York"/>
    <x v="2"/>
    <x v="4"/>
    <x v="1"/>
    <x v="6"/>
    <x v="1"/>
    <x v="1"/>
    <x v="1"/>
    <x v="1"/>
    <n v="10"/>
    <x v="4"/>
    <x v="4"/>
  </r>
  <r>
    <n v="2571"/>
    <x v="24"/>
    <x v="0"/>
    <x v="4"/>
    <x v="1"/>
    <n v="27"/>
    <s v="New Mexico"/>
    <x v="3"/>
    <x v="8"/>
    <x v="1"/>
    <x v="17"/>
    <x v="1"/>
    <x v="5"/>
    <x v="1"/>
    <x v="1"/>
    <n v="12"/>
    <x v="3"/>
    <x v="0"/>
  </r>
  <r>
    <n v="2572"/>
    <x v="4"/>
    <x v="0"/>
    <x v="12"/>
    <x v="3"/>
    <n v="27"/>
    <s v="Mississippi"/>
    <x v="0"/>
    <x v="13"/>
    <x v="0"/>
    <x v="1"/>
    <x v="1"/>
    <x v="3"/>
    <x v="1"/>
    <x v="1"/>
    <n v="48"/>
    <x v="1"/>
    <x v="0"/>
  </r>
  <r>
    <n v="2573"/>
    <x v="22"/>
    <x v="0"/>
    <x v="0"/>
    <x v="0"/>
    <n v="42"/>
    <s v="Washington"/>
    <x v="2"/>
    <x v="5"/>
    <x v="3"/>
    <x v="20"/>
    <x v="1"/>
    <x v="2"/>
    <x v="1"/>
    <x v="1"/>
    <n v="40"/>
    <x v="4"/>
    <x v="3"/>
  </r>
  <r>
    <n v="2574"/>
    <x v="22"/>
    <x v="0"/>
    <x v="17"/>
    <x v="0"/>
    <n v="90"/>
    <s v="New Mexico"/>
    <x v="2"/>
    <x v="16"/>
    <x v="2"/>
    <x v="14"/>
    <x v="1"/>
    <x v="5"/>
    <x v="1"/>
    <x v="1"/>
    <n v="1"/>
    <x v="4"/>
    <x v="2"/>
  </r>
  <r>
    <n v="2575"/>
    <x v="7"/>
    <x v="0"/>
    <x v="19"/>
    <x v="3"/>
    <n v="63"/>
    <s v="Florida"/>
    <x v="2"/>
    <x v="18"/>
    <x v="2"/>
    <x v="12"/>
    <x v="1"/>
    <x v="4"/>
    <x v="1"/>
    <x v="1"/>
    <n v="26"/>
    <x v="2"/>
    <x v="0"/>
  </r>
  <r>
    <n v="2576"/>
    <x v="10"/>
    <x v="0"/>
    <x v="6"/>
    <x v="0"/>
    <n v="96"/>
    <s v="Minnesota"/>
    <x v="2"/>
    <x v="5"/>
    <x v="3"/>
    <x v="17"/>
    <x v="1"/>
    <x v="0"/>
    <x v="1"/>
    <x v="1"/>
    <n v="9"/>
    <x v="3"/>
    <x v="2"/>
  </r>
  <r>
    <n v="2577"/>
    <x v="30"/>
    <x v="0"/>
    <x v="15"/>
    <x v="0"/>
    <n v="40"/>
    <s v="New Hampshire"/>
    <x v="2"/>
    <x v="5"/>
    <x v="0"/>
    <x v="19"/>
    <x v="1"/>
    <x v="1"/>
    <x v="1"/>
    <x v="1"/>
    <n v="19"/>
    <x v="5"/>
    <x v="3"/>
  </r>
  <r>
    <n v="2578"/>
    <x v="16"/>
    <x v="0"/>
    <x v="20"/>
    <x v="0"/>
    <n v="39"/>
    <s v="Minnesota"/>
    <x v="0"/>
    <x v="13"/>
    <x v="3"/>
    <x v="9"/>
    <x v="1"/>
    <x v="2"/>
    <x v="1"/>
    <x v="1"/>
    <n v="37"/>
    <x v="4"/>
    <x v="5"/>
  </r>
  <r>
    <n v="2579"/>
    <x v="22"/>
    <x v="0"/>
    <x v="12"/>
    <x v="3"/>
    <n v="48"/>
    <s v="Vermont"/>
    <x v="2"/>
    <x v="7"/>
    <x v="3"/>
    <x v="20"/>
    <x v="1"/>
    <x v="1"/>
    <x v="1"/>
    <x v="1"/>
    <n v="3"/>
    <x v="1"/>
    <x v="3"/>
  </r>
  <r>
    <n v="2580"/>
    <x v="13"/>
    <x v="0"/>
    <x v="0"/>
    <x v="0"/>
    <n v="20"/>
    <s v="Minnesota"/>
    <x v="2"/>
    <x v="7"/>
    <x v="2"/>
    <x v="18"/>
    <x v="1"/>
    <x v="0"/>
    <x v="1"/>
    <x v="1"/>
    <n v="40"/>
    <x v="0"/>
    <x v="1"/>
  </r>
  <r>
    <n v="2581"/>
    <x v="49"/>
    <x v="0"/>
    <x v="2"/>
    <x v="0"/>
    <n v="29"/>
    <s v="Massachusetts"/>
    <x v="1"/>
    <x v="2"/>
    <x v="2"/>
    <x v="15"/>
    <x v="1"/>
    <x v="5"/>
    <x v="1"/>
    <x v="1"/>
    <n v="13"/>
    <x v="4"/>
    <x v="3"/>
  </r>
  <r>
    <n v="2582"/>
    <x v="9"/>
    <x v="0"/>
    <x v="10"/>
    <x v="0"/>
    <n v="81"/>
    <s v="Wyoming"/>
    <x v="2"/>
    <x v="9"/>
    <x v="0"/>
    <x v="10"/>
    <x v="1"/>
    <x v="0"/>
    <x v="1"/>
    <x v="1"/>
    <n v="48"/>
    <x v="2"/>
    <x v="5"/>
  </r>
  <r>
    <n v="2583"/>
    <x v="1"/>
    <x v="0"/>
    <x v="10"/>
    <x v="0"/>
    <n v="98"/>
    <s v="South Dakota"/>
    <x v="1"/>
    <x v="21"/>
    <x v="3"/>
    <x v="15"/>
    <x v="1"/>
    <x v="4"/>
    <x v="1"/>
    <x v="1"/>
    <n v="4"/>
    <x v="0"/>
    <x v="6"/>
  </r>
  <r>
    <n v="2584"/>
    <x v="28"/>
    <x v="0"/>
    <x v="2"/>
    <x v="0"/>
    <n v="93"/>
    <s v="Oklahoma"/>
    <x v="2"/>
    <x v="12"/>
    <x v="3"/>
    <x v="25"/>
    <x v="1"/>
    <x v="2"/>
    <x v="1"/>
    <x v="1"/>
    <n v="9"/>
    <x v="1"/>
    <x v="1"/>
  </r>
  <r>
    <n v="2585"/>
    <x v="8"/>
    <x v="0"/>
    <x v="20"/>
    <x v="0"/>
    <n v="30"/>
    <s v="Florida"/>
    <x v="0"/>
    <x v="24"/>
    <x v="2"/>
    <x v="3"/>
    <x v="1"/>
    <x v="5"/>
    <x v="1"/>
    <x v="1"/>
    <n v="26"/>
    <x v="4"/>
    <x v="4"/>
  </r>
  <r>
    <n v="2586"/>
    <x v="9"/>
    <x v="0"/>
    <x v="12"/>
    <x v="3"/>
    <n v="37"/>
    <s v="Wisconsin"/>
    <x v="0"/>
    <x v="1"/>
    <x v="3"/>
    <x v="14"/>
    <x v="1"/>
    <x v="1"/>
    <x v="1"/>
    <x v="1"/>
    <n v="19"/>
    <x v="5"/>
    <x v="1"/>
  </r>
  <r>
    <n v="2587"/>
    <x v="30"/>
    <x v="0"/>
    <x v="7"/>
    <x v="2"/>
    <n v="28"/>
    <s v="Maine"/>
    <x v="0"/>
    <x v="22"/>
    <x v="0"/>
    <x v="12"/>
    <x v="1"/>
    <x v="0"/>
    <x v="1"/>
    <x v="1"/>
    <n v="1"/>
    <x v="2"/>
    <x v="6"/>
  </r>
  <r>
    <n v="2588"/>
    <x v="0"/>
    <x v="0"/>
    <x v="18"/>
    <x v="3"/>
    <n v="29"/>
    <s v="Connecticut"/>
    <x v="2"/>
    <x v="7"/>
    <x v="0"/>
    <x v="18"/>
    <x v="1"/>
    <x v="0"/>
    <x v="1"/>
    <x v="1"/>
    <n v="29"/>
    <x v="3"/>
    <x v="6"/>
  </r>
  <r>
    <n v="2589"/>
    <x v="42"/>
    <x v="0"/>
    <x v="21"/>
    <x v="3"/>
    <n v="49"/>
    <s v="Delaware"/>
    <x v="2"/>
    <x v="15"/>
    <x v="2"/>
    <x v="4"/>
    <x v="1"/>
    <x v="1"/>
    <x v="1"/>
    <x v="1"/>
    <n v="38"/>
    <x v="0"/>
    <x v="4"/>
  </r>
  <r>
    <n v="2590"/>
    <x v="16"/>
    <x v="0"/>
    <x v="13"/>
    <x v="0"/>
    <n v="53"/>
    <s v="North Dakota"/>
    <x v="2"/>
    <x v="5"/>
    <x v="0"/>
    <x v="8"/>
    <x v="1"/>
    <x v="4"/>
    <x v="1"/>
    <x v="1"/>
    <n v="31"/>
    <x v="3"/>
    <x v="2"/>
  </r>
  <r>
    <n v="2591"/>
    <x v="9"/>
    <x v="0"/>
    <x v="24"/>
    <x v="3"/>
    <n v="66"/>
    <s v="California"/>
    <x v="2"/>
    <x v="2"/>
    <x v="2"/>
    <x v="16"/>
    <x v="1"/>
    <x v="1"/>
    <x v="1"/>
    <x v="1"/>
    <n v="35"/>
    <x v="0"/>
    <x v="2"/>
  </r>
  <r>
    <n v="2592"/>
    <x v="37"/>
    <x v="0"/>
    <x v="14"/>
    <x v="2"/>
    <n v="61"/>
    <s v="New Mexico"/>
    <x v="1"/>
    <x v="8"/>
    <x v="1"/>
    <x v="13"/>
    <x v="1"/>
    <x v="0"/>
    <x v="1"/>
    <x v="1"/>
    <n v="40"/>
    <x v="1"/>
    <x v="3"/>
  </r>
  <r>
    <n v="2593"/>
    <x v="51"/>
    <x v="0"/>
    <x v="6"/>
    <x v="0"/>
    <n v="23"/>
    <s v="Iowa"/>
    <x v="3"/>
    <x v="15"/>
    <x v="2"/>
    <x v="14"/>
    <x v="1"/>
    <x v="5"/>
    <x v="1"/>
    <x v="1"/>
    <n v="13"/>
    <x v="0"/>
    <x v="3"/>
  </r>
  <r>
    <n v="2594"/>
    <x v="24"/>
    <x v="0"/>
    <x v="13"/>
    <x v="0"/>
    <n v="36"/>
    <s v="Colorado"/>
    <x v="1"/>
    <x v="21"/>
    <x v="3"/>
    <x v="10"/>
    <x v="1"/>
    <x v="5"/>
    <x v="1"/>
    <x v="1"/>
    <n v="9"/>
    <x v="4"/>
    <x v="6"/>
  </r>
  <r>
    <n v="2595"/>
    <x v="35"/>
    <x v="0"/>
    <x v="11"/>
    <x v="0"/>
    <n v="81"/>
    <s v="Montana"/>
    <x v="0"/>
    <x v="21"/>
    <x v="3"/>
    <x v="15"/>
    <x v="1"/>
    <x v="1"/>
    <x v="1"/>
    <x v="1"/>
    <n v="25"/>
    <x v="1"/>
    <x v="6"/>
  </r>
  <r>
    <n v="2596"/>
    <x v="26"/>
    <x v="0"/>
    <x v="0"/>
    <x v="0"/>
    <n v="56"/>
    <s v="Iowa"/>
    <x v="3"/>
    <x v="1"/>
    <x v="2"/>
    <x v="4"/>
    <x v="1"/>
    <x v="1"/>
    <x v="1"/>
    <x v="1"/>
    <n v="3"/>
    <x v="4"/>
    <x v="4"/>
  </r>
  <r>
    <n v="2597"/>
    <x v="6"/>
    <x v="0"/>
    <x v="5"/>
    <x v="0"/>
    <n v="78"/>
    <s v="Louisiana"/>
    <x v="0"/>
    <x v="13"/>
    <x v="1"/>
    <x v="21"/>
    <x v="1"/>
    <x v="2"/>
    <x v="1"/>
    <x v="1"/>
    <n v="35"/>
    <x v="2"/>
    <x v="5"/>
  </r>
  <r>
    <n v="2598"/>
    <x v="52"/>
    <x v="0"/>
    <x v="16"/>
    <x v="3"/>
    <n v="25"/>
    <s v="Alabama"/>
    <x v="3"/>
    <x v="11"/>
    <x v="2"/>
    <x v="14"/>
    <x v="1"/>
    <x v="5"/>
    <x v="1"/>
    <x v="1"/>
    <n v="13"/>
    <x v="0"/>
    <x v="4"/>
  </r>
  <r>
    <n v="2599"/>
    <x v="14"/>
    <x v="0"/>
    <x v="21"/>
    <x v="3"/>
    <n v="86"/>
    <s v="Nevada"/>
    <x v="3"/>
    <x v="8"/>
    <x v="3"/>
    <x v="13"/>
    <x v="1"/>
    <x v="0"/>
    <x v="1"/>
    <x v="1"/>
    <n v="31"/>
    <x v="5"/>
    <x v="2"/>
  </r>
  <r>
    <n v="2600"/>
    <x v="6"/>
    <x v="0"/>
    <x v="16"/>
    <x v="3"/>
    <n v="99"/>
    <s v="Vermont"/>
    <x v="2"/>
    <x v="9"/>
    <x v="0"/>
    <x v="23"/>
    <x v="1"/>
    <x v="0"/>
    <x v="1"/>
    <x v="1"/>
    <n v="48"/>
    <x v="2"/>
    <x v="5"/>
  </r>
  <r>
    <n v="2601"/>
    <x v="3"/>
    <x v="0"/>
    <x v="22"/>
    <x v="3"/>
    <n v="83"/>
    <s v="New York"/>
    <x v="2"/>
    <x v="0"/>
    <x v="3"/>
    <x v="20"/>
    <x v="1"/>
    <x v="0"/>
    <x v="1"/>
    <x v="1"/>
    <n v="6"/>
    <x v="4"/>
    <x v="4"/>
  </r>
  <r>
    <n v="2602"/>
    <x v="12"/>
    <x v="0"/>
    <x v="10"/>
    <x v="0"/>
    <n v="33"/>
    <s v="Mississippi"/>
    <x v="0"/>
    <x v="20"/>
    <x v="0"/>
    <x v="3"/>
    <x v="1"/>
    <x v="5"/>
    <x v="1"/>
    <x v="1"/>
    <n v="43"/>
    <x v="1"/>
    <x v="5"/>
  </r>
  <r>
    <n v="2603"/>
    <x v="13"/>
    <x v="0"/>
    <x v="7"/>
    <x v="2"/>
    <n v="44"/>
    <s v="South Carolina"/>
    <x v="2"/>
    <x v="13"/>
    <x v="3"/>
    <x v="3"/>
    <x v="1"/>
    <x v="1"/>
    <x v="1"/>
    <x v="1"/>
    <n v="1"/>
    <x v="0"/>
    <x v="3"/>
  </r>
  <r>
    <n v="2604"/>
    <x v="28"/>
    <x v="0"/>
    <x v="10"/>
    <x v="0"/>
    <n v="58"/>
    <s v="Washington"/>
    <x v="2"/>
    <x v="11"/>
    <x v="1"/>
    <x v="2"/>
    <x v="1"/>
    <x v="4"/>
    <x v="1"/>
    <x v="1"/>
    <n v="8"/>
    <x v="1"/>
    <x v="2"/>
  </r>
  <r>
    <n v="2605"/>
    <x v="36"/>
    <x v="0"/>
    <x v="1"/>
    <x v="0"/>
    <n v="54"/>
    <s v="Colorado"/>
    <x v="2"/>
    <x v="19"/>
    <x v="1"/>
    <x v="23"/>
    <x v="1"/>
    <x v="5"/>
    <x v="1"/>
    <x v="1"/>
    <n v="6"/>
    <x v="5"/>
    <x v="1"/>
  </r>
  <r>
    <n v="2606"/>
    <x v="38"/>
    <x v="0"/>
    <x v="15"/>
    <x v="0"/>
    <n v="93"/>
    <s v="Nevada"/>
    <x v="2"/>
    <x v="3"/>
    <x v="1"/>
    <x v="18"/>
    <x v="1"/>
    <x v="4"/>
    <x v="1"/>
    <x v="1"/>
    <n v="32"/>
    <x v="0"/>
    <x v="0"/>
  </r>
  <r>
    <n v="2607"/>
    <x v="33"/>
    <x v="0"/>
    <x v="9"/>
    <x v="1"/>
    <n v="98"/>
    <s v="Nevada"/>
    <x v="0"/>
    <x v="2"/>
    <x v="1"/>
    <x v="10"/>
    <x v="1"/>
    <x v="3"/>
    <x v="1"/>
    <x v="1"/>
    <n v="46"/>
    <x v="4"/>
    <x v="4"/>
  </r>
  <r>
    <n v="2608"/>
    <x v="38"/>
    <x v="0"/>
    <x v="9"/>
    <x v="1"/>
    <n v="36"/>
    <s v="Oklahoma"/>
    <x v="3"/>
    <x v="11"/>
    <x v="1"/>
    <x v="0"/>
    <x v="1"/>
    <x v="0"/>
    <x v="1"/>
    <x v="1"/>
    <n v="38"/>
    <x v="3"/>
    <x v="6"/>
  </r>
  <r>
    <n v="2609"/>
    <x v="32"/>
    <x v="0"/>
    <x v="14"/>
    <x v="2"/>
    <n v="68"/>
    <s v="Mississippi"/>
    <x v="0"/>
    <x v="20"/>
    <x v="3"/>
    <x v="19"/>
    <x v="1"/>
    <x v="4"/>
    <x v="1"/>
    <x v="1"/>
    <n v="48"/>
    <x v="2"/>
    <x v="0"/>
  </r>
  <r>
    <n v="2610"/>
    <x v="17"/>
    <x v="0"/>
    <x v="21"/>
    <x v="3"/>
    <n v="95"/>
    <s v="Arkansas"/>
    <x v="2"/>
    <x v="13"/>
    <x v="2"/>
    <x v="21"/>
    <x v="1"/>
    <x v="5"/>
    <x v="1"/>
    <x v="1"/>
    <n v="18"/>
    <x v="5"/>
    <x v="4"/>
  </r>
  <r>
    <n v="2611"/>
    <x v="17"/>
    <x v="0"/>
    <x v="2"/>
    <x v="0"/>
    <n v="93"/>
    <s v="West Virginia"/>
    <x v="2"/>
    <x v="10"/>
    <x v="1"/>
    <x v="0"/>
    <x v="1"/>
    <x v="0"/>
    <x v="1"/>
    <x v="1"/>
    <n v="25"/>
    <x v="1"/>
    <x v="3"/>
  </r>
  <r>
    <n v="2612"/>
    <x v="23"/>
    <x v="0"/>
    <x v="14"/>
    <x v="2"/>
    <n v="99"/>
    <s v="Michigan"/>
    <x v="0"/>
    <x v="1"/>
    <x v="3"/>
    <x v="19"/>
    <x v="1"/>
    <x v="4"/>
    <x v="1"/>
    <x v="1"/>
    <n v="4"/>
    <x v="1"/>
    <x v="0"/>
  </r>
  <r>
    <n v="2613"/>
    <x v="0"/>
    <x v="0"/>
    <x v="12"/>
    <x v="3"/>
    <n v="22"/>
    <s v="Louisiana"/>
    <x v="2"/>
    <x v="2"/>
    <x v="0"/>
    <x v="22"/>
    <x v="1"/>
    <x v="2"/>
    <x v="1"/>
    <x v="1"/>
    <n v="27"/>
    <x v="0"/>
    <x v="3"/>
  </r>
  <r>
    <n v="2614"/>
    <x v="44"/>
    <x v="0"/>
    <x v="24"/>
    <x v="3"/>
    <n v="88"/>
    <s v="South Dakota"/>
    <x v="2"/>
    <x v="9"/>
    <x v="3"/>
    <x v="3"/>
    <x v="1"/>
    <x v="0"/>
    <x v="1"/>
    <x v="1"/>
    <n v="14"/>
    <x v="4"/>
    <x v="5"/>
  </r>
  <r>
    <n v="2615"/>
    <x v="20"/>
    <x v="0"/>
    <x v="14"/>
    <x v="2"/>
    <n v="65"/>
    <s v="North Dakota"/>
    <x v="2"/>
    <x v="2"/>
    <x v="1"/>
    <x v="19"/>
    <x v="1"/>
    <x v="0"/>
    <x v="1"/>
    <x v="1"/>
    <n v="36"/>
    <x v="4"/>
    <x v="0"/>
  </r>
  <r>
    <n v="2616"/>
    <x v="34"/>
    <x v="0"/>
    <x v="17"/>
    <x v="0"/>
    <n v="62"/>
    <s v="Arizona"/>
    <x v="2"/>
    <x v="1"/>
    <x v="3"/>
    <x v="0"/>
    <x v="1"/>
    <x v="4"/>
    <x v="1"/>
    <x v="1"/>
    <n v="6"/>
    <x v="5"/>
    <x v="3"/>
  </r>
  <r>
    <n v="2617"/>
    <x v="12"/>
    <x v="0"/>
    <x v="3"/>
    <x v="1"/>
    <n v="55"/>
    <s v="Georgia"/>
    <x v="3"/>
    <x v="7"/>
    <x v="1"/>
    <x v="15"/>
    <x v="1"/>
    <x v="0"/>
    <x v="1"/>
    <x v="1"/>
    <n v="46"/>
    <x v="1"/>
    <x v="2"/>
  </r>
  <r>
    <n v="2618"/>
    <x v="18"/>
    <x v="0"/>
    <x v="6"/>
    <x v="0"/>
    <n v="97"/>
    <s v="Idaho"/>
    <x v="1"/>
    <x v="1"/>
    <x v="1"/>
    <x v="6"/>
    <x v="1"/>
    <x v="3"/>
    <x v="1"/>
    <x v="1"/>
    <n v="29"/>
    <x v="4"/>
    <x v="2"/>
  </r>
  <r>
    <n v="2619"/>
    <x v="27"/>
    <x v="0"/>
    <x v="8"/>
    <x v="3"/>
    <n v="77"/>
    <s v="Louisiana"/>
    <x v="0"/>
    <x v="18"/>
    <x v="3"/>
    <x v="7"/>
    <x v="1"/>
    <x v="0"/>
    <x v="1"/>
    <x v="1"/>
    <n v="12"/>
    <x v="0"/>
    <x v="5"/>
  </r>
  <r>
    <n v="2620"/>
    <x v="33"/>
    <x v="0"/>
    <x v="13"/>
    <x v="0"/>
    <n v="40"/>
    <s v="Connecticut"/>
    <x v="0"/>
    <x v="21"/>
    <x v="0"/>
    <x v="20"/>
    <x v="1"/>
    <x v="1"/>
    <x v="1"/>
    <x v="1"/>
    <n v="47"/>
    <x v="2"/>
    <x v="1"/>
  </r>
  <r>
    <n v="2621"/>
    <x v="7"/>
    <x v="0"/>
    <x v="0"/>
    <x v="0"/>
    <n v="23"/>
    <s v="Ohio"/>
    <x v="1"/>
    <x v="12"/>
    <x v="0"/>
    <x v="21"/>
    <x v="1"/>
    <x v="3"/>
    <x v="1"/>
    <x v="1"/>
    <n v="28"/>
    <x v="5"/>
    <x v="2"/>
  </r>
  <r>
    <n v="2622"/>
    <x v="39"/>
    <x v="0"/>
    <x v="9"/>
    <x v="1"/>
    <n v="46"/>
    <s v="Maine"/>
    <x v="2"/>
    <x v="19"/>
    <x v="0"/>
    <x v="21"/>
    <x v="1"/>
    <x v="0"/>
    <x v="1"/>
    <x v="1"/>
    <n v="21"/>
    <x v="4"/>
    <x v="2"/>
  </r>
  <r>
    <n v="2623"/>
    <x v="6"/>
    <x v="0"/>
    <x v="21"/>
    <x v="3"/>
    <n v="75"/>
    <s v="New Hampshire"/>
    <x v="2"/>
    <x v="22"/>
    <x v="1"/>
    <x v="8"/>
    <x v="1"/>
    <x v="4"/>
    <x v="1"/>
    <x v="1"/>
    <n v="15"/>
    <x v="2"/>
    <x v="2"/>
  </r>
  <r>
    <n v="2624"/>
    <x v="34"/>
    <x v="0"/>
    <x v="9"/>
    <x v="1"/>
    <n v="76"/>
    <s v="Massachusetts"/>
    <x v="2"/>
    <x v="9"/>
    <x v="3"/>
    <x v="6"/>
    <x v="1"/>
    <x v="2"/>
    <x v="1"/>
    <x v="1"/>
    <n v="38"/>
    <x v="1"/>
    <x v="2"/>
  </r>
  <r>
    <n v="2625"/>
    <x v="1"/>
    <x v="0"/>
    <x v="10"/>
    <x v="0"/>
    <n v="59"/>
    <s v="South Dakota"/>
    <x v="2"/>
    <x v="21"/>
    <x v="2"/>
    <x v="13"/>
    <x v="1"/>
    <x v="3"/>
    <x v="1"/>
    <x v="1"/>
    <n v="19"/>
    <x v="2"/>
    <x v="2"/>
  </r>
  <r>
    <n v="2626"/>
    <x v="11"/>
    <x v="0"/>
    <x v="11"/>
    <x v="0"/>
    <n v="51"/>
    <s v="Colorado"/>
    <x v="0"/>
    <x v="17"/>
    <x v="2"/>
    <x v="2"/>
    <x v="1"/>
    <x v="3"/>
    <x v="1"/>
    <x v="1"/>
    <n v="31"/>
    <x v="2"/>
    <x v="1"/>
  </r>
  <r>
    <n v="2627"/>
    <x v="2"/>
    <x v="0"/>
    <x v="14"/>
    <x v="2"/>
    <n v="46"/>
    <s v="Rhode Island"/>
    <x v="3"/>
    <x v="5"/>
    <x v="3"/>
    <x v="19"/>
    <x v="1"/>
    <x v="0"/>
    <x v="1"/>
    <x v="1"/>
    <n v="30"/>
    <x v="2"/>
    <x v="6"/>
  </r>
  <r>
    <n v="2628"/>
    <x v="17"/>
    <x v="0"/>
    <x v="5"/>
    <x v="0"/>
    <n v="26"/>
    <s v="Missouri"/>
    <x v="0"/>
    <x v="5"/>
    <x v="3"/>
    <x v="15"/>
    <x v="1"/>
    <x v="2"/>
    <x v="1"/>
    <x v="1"/>
    <n v="40"/>
    <x v="4"/>
    <x v="3"/>
  </r>
  <r>
    <n v="2629"/>
    <x v="15"/>
    <x v="0"/>
    <x v="15"/>
    <x v="0"/>
    <n v="51"/>
    <s v="Wyoming"/>
    <x v="2"/>
    <x v="5"/>
    <x v="2"/>
    <x v="22"/>
    <x v="1"/>
    <x v="2"/>
    <x v="1"/>
    <x v="1"/>
    <n v="42"/>
    <x v="2"/>
    <x v="4"/>
  </r>
  <r>
    <n v="2630"/>
    <x v="12"/>
    <x v="0"/>
    <x v="18"/>
    <x v="3"/>
    <n v="44"/>
    <s v="New Hampshire"/>
    <x v="2"/>
    <x v="15"/>
    <x v="0"/>
    <x v="22"/>
    <x v="1"/>
    <x v="1"/>
    <x v="1"/>
    <x v="1"/>
    <n v="25"/>
    <x v="0"/>
    <x v="2"/>
  </r>
  <r>
    <n v="2631"/>
    <x v="26"/>
    <x v="0"/>
    <x v="11"/>
    <x v="0"/>
    <n v="82"/>
    <s v="Maine"/>
    <x v="1"/>
    <x v="6"/>
    <x v="1"/>
    <x v="19"/>
    <x v="1"/>
    <x v="1"/>
    <x v="1"/>
    <x v="1"/>
    <n v="20"/>
    <x v="1"/>
    <x v="3"/>
  </r>
  <r>
    <n v="2632"/>
    <x v="10"/>
    <x v="0"/>
    <x v="11"/>
    <x v="0"/>
    <n v="44"/>
    <s v="Connecticut"/>
    <x v="1"/>
    <x v="10"/>
    <x v="2"/>
    <x v="2"/>
    <x v="1"/>
    <x v="0"/>
    <x v="1"/>
    <x v="1"/>
    <n v="3"/>
    <x v="1"/>
    <x v="1"/>
  </r>
  <r>
    <n v="2633"/>
    <x v="41"/>
    <x v="0"/>
    <x v="18"/>
    <x v="3"/>
    <n v="27"/>
    <s v="Alaska"/>
    <x v="2"/>
    <x v="13"/>
    <x v="3"/>
    <x v="16"/>
    <x v="1"/>
    <x v="2"/>
    <x v="1"/>
    <x v="1"/>
    <n v="14"/>
    <x v="1"/>
    <x v="2"/>
  </r>
  <r>
    <n v="2634"/>
    <x v="47"/>
    <x v="0"/>
    <x v="12"/>
    <x v="3"/>
    <n v="90"/>
    <s v="Alaska"/>
    <x v="2"/>
    <x v="7"/>
    <x v="3"/>
    <x v="10"/>
    <x v="1"/>
    <x v="2"/>
    <x v="1"/>
    <x v="1"/>
    <n v="32"/>
    <x v="2"/>
    <x v="0"/>
  </r>
  <r>
    <n v="2635"/>
    <x v="8"/>
    <x v="0"/>
    <x v="3"/>
    <x v="1"/>
    <n v="58"/>
    <s v="North Carolina"/>
    <x v="1"/>
    <x v="13"/>
    <x v="2"/>
    <x v="4"/>
    <x v="1"/>
    <x v="5"/>
    <x v="1"/>
    <x v="1"/>
    <n v="20"/>
    <x v="3"/>
    <x v="6"/>
  </r>
  <r>
    <n v="2636"/>
    <x v="35"/>
    <x v="0"/>
    <x v="15"/>
    <x v="0"/>
    <n v="80"/>
    <s v="Colorado"/>
    <x v="3"/>
    <x v="15"/>
    <x v="1"/>
    <x v="3"/>
    <x v="1"/>
    <x v="4"/>
    <x v="1"/>
    <x v="1"/>
    <n v="34"/>
    <x v="3"/>
    <x v="0"/>
  </r>
  <r>
    <n v="2637"/>
    <x v="38"/>
    <x v="0"/>
    <x v="14"/>
    <x v="2"/>
    <n v="40"/>
    <s v="Utah"/>
    <x v="1"/>
    <x v="23"/>
    <x v="0"/>
    <x v="19"/>
    <x v="1"/>
    <x v="5"/>
    <x v="1"/>
    <x v="1"/>
    <n v="6"/>
    <x v="0"/>
    <x v="2"/>
  </r>
  <r>
    <n v="2638"/>
    <x v="30"/>
    <x v="0"/>
    <x v="13"/>
    <x v="0"/>
    <n v="23"/>
    <s v="Alabama"/>
    <x v="2"/>
    <x v="23"/>
    <x v="1"/>
    <x v="18"/>
    <x v="1"/>
    <x v="5"/>
    <x v="1"/>
    <x v="1"/>
    <n v="2"/>
    <x v="3"/>
    <x v="2"/>
  </r>
  <r>
    <n v="2639"/>
    <x v="40"/>
    <x v="0"/>
    <x v="5"/>
    <x v="0"/>
    <n v="34"/>
    <s v="Hawaii"/>
    <x v="1"/>
    <x v="13"/>
    <x v="1"/>
    <x v="19"/>
    <x v="1"/>
    <x v="5"/>
    <x v="1"/>
    <x v="1"/>
    <n v="35"/>
    <x v="2"/>
    <x v="2"/>
  </r>
  <r>
    <n v="2640"/>
    <x v="20"/>
    <x v="0"/>
    <x v="0"/>
    <x v="0"/>
    <n v="35"/>
    <s v="New Hampshire"/>
    <x v="3"/>
    <x v="6"/>
    <x v="0"/>
    <x v="5"/>
    <x v="1"/>
    <x v="1"/>
    <x v="1"/>
    <x v="1"/>
    <n v="33"/>
    <x v="5"/>
    <x v="3"/>
  </r>
  <r>
    <n v="2641"/>
    <x v="11"/>
    <x v="0"/>
    <x v="11"/>
    <x v="0"/>
    <n v="75"/>
    <s v="Indiana"/>
    <x v="0"/>
    <x v="8"/>
    <x v="2"/>
    <x v="17"/>
    <x v="1"/>
    <x v="5"/>
    <x v="1"/>
    <x v="1"/>
    <n v="45"/>
    <x v="0"/>
    <x v="4"/>
  </r>
  <r>
    <n v="2642"/>
    <x v="15"/>
    <x v="0"/>
    <x v="12"/>
    <x v="3"/>
    <n v="60"/>
    <s v="Vermont"/>
    <x v="3"/>
    <x v="8"/>
    <x v="0"/>
    <x v="2"/>
    <x v="1"/>
    <x v="2"/>
    <x v="1"/>
    <x v="1"/>
    <n v="20"/>
    <x v="4"/>
    <x v="6"/>
  </r>
  <r>
    <n v="2643"/>
    <x v="31"/>
    <x v="0"/>
    <x v="22"/>
    <x v="3"/>
    <n v="87"/>
    <s v="Iowa"/>
    <x v="0"/>
    <x v="15"/>
    <x v="2"/>
    <x v="17"/>
    <x v="1"/>
    <x v="5"/>
    <x v="1"/>
    <x v="1"/>
    <n v="48"/>
    <x v="4"/>
    <x v="2"/>
  </r>
  <r>
    <n v="2644"/>
    <x v="34"/>
    <x v="0"/>
    <x v="24"/>
    <x v="3"/>
    <n v="41"/>
    <s v="Maryland"/>
    <x v="1"/>
    <x v="5"/>
    <x v="1"/>
    <x v="3"/>
    <x v="1"/>
    <x v="2"/>
    <x v="1"/>
    <x v="1"/>
    <n v="37"/>
    <x v="1"/>
    <x v="5"/>
  </r>
  <r>
    <n v="2645"/>
    <x v="15"/>
    <x v="0"/>
    <x v="13"/>
    <x v="0"/>
    <n v="83"/>
    <s v="New Mexico"/>
    <x v="2"/>
    <x v="2"/>
    <x v="1"/>
    <x v="13"/>
    <x v="1"/>
    <x v="3"/>
    <x v="1"/>
    <x v="1"/>
    <n v="4"/>
    <x v="4"/>
    <x v="6"/>
  </r>
  <r>
    <n v="2646"/>
    <x v="51"/>
    <x v="0"/>
    <x v="18"/>
    <x v="3"/>
    <n v="81"/>
    <s v="Louisiana"/>
    <x v="0"/>
    <x v="8"/>
    <x v="1"/>
    <x v="17"/>
    <x v="1"/>
    <x v="5"/>
    <x v="1"/>
    <x v="1"/>
    <n v="24"/>
    <x v="4"/>
    <x v="4"/>
  </r>
  <r>
    <n v="2647"/>
    <x v="23"/>
    <x v="0"/>
    <x v="17"/>
    <x v="0"/>
    <n v="56"/>
    <s v="New Mexico"/>
    <x v="1"/>
    <x v="12"/>
    <x v="2"/>
    <x v="20"/>
    <x v="1"/>
    <x v="2"/>
    <x v="1"/>
    <x v="1"/>
    <n v="4"/>
    <x v="5"/>
    <x v="6"/>
  </r>
  <r>
    <n v="2648"/>
    <x v="52"/>
    <x v="0"/>
    <x v="9"/>
    <x v="1"/>
    <n v="58"/>
    <s v="South Carolina"/>
    <x v="2"/>
    <x v="16"/>
    <x v="2"/>
    <x v="13"/>
    <x v="1"/>
    <x v="4"/>
    <x v="1"/>
    <x v="1"/>
    <n v="25"/>
    <x v="5"/>
    <x v="2"/>
  </r>
  <r>
    <n v="2649"/>
    <x v="47"/>
    <x v="0"/>
    <x v="13"/>
    <x v="0"/>
    <n v="84"/>
    <s v="Illinois"/>
    <x v="2"/>
    <x v="0"/>
    <x v="1"/>
    <x v="20"/>
    <x v="1"/>
    <x v="2"/>
    <x v="1"/>
    <x v="1"/>
    <n v="14"/>
    <x v="3"/>
    <x v="4"/>
  </r>
  <r>
    <n v="2650"/>
    <x v="51"/>
    <x v="0"/>
    <x v="24"/>
    <x v="3"/>
    <n v="21"/>
    <s v="Minnesota"/>
    <x v="2"/>
    <x v="23"/>
    <x v="3"/>
    <x v="20"/>
    <x v="1"/>
    <x v="5"/>
    <x v="1"/>
    <x v="1"/>
    <n v="14"/>
    <x v="4"/>
    <x v="0"/>
  </r>
  <r>
    <n v="2651"/>
    <x v="30"/>
    <x v="0"/>
    <x v="20"/>
    <x v="0"/>
    <n v="35"/>
    <s v="Oregon"/>
    <x v="0"/>
    <x v="1"/>
    <x v="2"/>
    <x v="19"/>
    <x v="1"/>
    <x v="3"/>
    <x v="1"/>
    <x v="1"/>
    <n v="46"/>
    <x v="2"/>
    <x v="6"/>
  </r>
  <r>
    <n v="2652"/>
    <x v="47"/>
    <x v="0"/>
    <x v="4"/>
    <x v="1"/>
    <n v="43"/>
    <s v="Tennessee"/>
    <x v="2"/>
    <x v="17"/>
    <x v="2"/>
    <x v="12"/>
    <x v="1"/>
    <x v="5"/>
    <x v="1"/>
    <x v="1"/>
    <n v="27"/>
    <x v="3"/>
    <x v="3"/>
  </r>
  <r>
    <n v="2653"/>
    <x v="51"/>
    <x v="1"/>
    <x v="6"/>
    <x v="0"/>
    <n v="20"/>
    <s v="Maryland"/>
    <x v="0"/>
    <x v="17"/>
    <x v="2"/>
    <x v="13"/>
    <x v="1"/>
    <x v="4"/>
    <x v="1"/>
    <x v="1"/>
    <n v="46"/>
    <x v="2"/>
    <x v="5"/>
  </r>
  <r>
    <n v="2654"/>
    <x v="29"/>
    <x v="1"/>
    <x v="0"/>
    <x v="0"/>
    <n v="36"/>
    <s v="Wisconsin"/>
    <x v="0"/>
    <x v="12"/>
    <x v="3"/>
    <x v="6"/>
    <x v="1"/>
    <x v="0"/>
    <x v="1"/>
    <x v="1"/>
    <n v="24"/>
    <x v="0"/>
    <x v="6"/>
  </r>
  <r>
    <n v="2655"/>
    <x v="51"/>
    <x v="1"/>
    <x v="7"/>
    <x v="2"/>
    <n v="70"/>
    <s v="Idaho"/>
    <x v="1"/>
    <x v="6"/>
    <x v="3"/>
    <x v="7"/>
    <x v="1"/>
    <x v="2"/>
    <x v="1"/>
    <x v="1"/>
    <n v="4"/>
    <x v="3"/>
    <x v="2"/>
  </r>
  <r>
    <n v="2656"/>
    <x v="8"/>
    <x v="1"/>
    <x v="12"/>
    <x v="3"/>
    <n v="83"/>
    <s v="Wyoming"/>
    <x v="2"/>
    <x v="0"/>
    <x v="2"/>
    <x v="23"/>
    <x v="1"/>
    <x v="3"/>
    <x v="1"/>
    <x v="1"/>
    <n v="2"/>
    <x v="2"/>
    <x v="0"/>
  </r>
  <r>
    <n v="2657"/>
    <x v="16"/>
    <x v="1"/>
    <x v="6"/>
    <x v="0"/>
    <n v="76"/>
    <s v="Indiana"/>
    <x v="0"/>
    <x v="22"/>
    <x v="0"/>
    <x v="15"/>
    <x v="1"/>
    <x v="0"/>
    <x v="1"/>
    <x v="1"/>
    <n v="29"/>
    <x v="4"/>
    <x v="0"/>
  </r>
  <r>
    <n v="2658"/>
    <x v="16"/>
    <x v="1"/>
    <x v="10"/>
    <x v="0"/>
    <n v="81"/>
    <s v="Texas"/>
    <x v="2"/>
    <x v="6"/>
    <x v="2"/>
    <x v="2"/>
    <x v="1"/>
    <x v="0"/>
    <x v="1"/>
    <x v="1"/>
    <n v="7"/>
    <x v="2"/>
    <x v="0"/>
  </r>
  <r>
    <n v="2659"/>
    <x v="16"/>
    <x v="1"/>
    <x v="8"/>
    <x v="3"/>
    <n v="47"/>
    <s v="Ohio"/>
    <x v="3"/>
    <x v="21"/>
    <x v="2"/>
    <x v="4"/>
    <x v="1"/>
    <x v="2"/>
    <x v="1"/>
    <x v="1"/>
    <n v="39"/>
    <x v="3"/>
    <x v="5"/>
  </r>
  <r>
    <n v="2660"/>
    <x v="25"/>
    <x v="1"/>
    <x v="23"/>
    <x v="1"/>
    <n v="35"/>
    <s v="Kansas"/>
    <x v="0"/>
    <x v="0"/>
    <x v="2"/>
    <x v="14"/>
    <x v="1"/>
    <x v="4"/>
    <x v="1"/>
    <x v="1"/>
    <n v="46"/>
    <x v="2"/>
    <x v="0"/>
  </r>
  <r>
    <n v="2661"/>
    <x v="41"/>
    <x v="1"/>
    <x v="13"/>
    <x v="0"/>
    <n v="85"/>
    <s v="South Carolina"/>
    <x v="0"/>
    <x v="22"/>
    <x v="1"/>
    <x v="8"/>
    <x v="1"/>
    <x v="0"/>
    <x v="1"/>
    <x v="1"/>
    <n v="44"/>
    <x v="0"/>
    <x v="2"/>
  </r>
  <r>
    <n v="2662"/>
    <x v="49"/>
    <x v="1"/>
    <x v="23"/>
    <x v="1"/>
    <n v="96"/>
    <s v="Michigan"/>
    <x v="3"/>
    <x v="8"/>
    <x v="3"/>
    <x v="6"/>
    <x v="1"/>
    <x v="0"/>
    <x v="1"/>
    <x v="1"/>
    <n v="20"/>
    <x v="4"/>
    <x v="2"/>
  </r>
  <r>
    <n v="2663"/>
    <x v="15"/>
    <x v="1"/>
    <x v="11"/>
    <x v="0"/>
    <n v="98"/>
    <s v="Nebraska"/>
    <x v="2"/>
    <x v="17"/>
    <x v="2"/>
    <x v="11"/>
    <x v="1"/>
    <x v="4"/>
    <x v="1"/>
    <x v="1"/>
    <n v="44"/>
    <x v="3"/>
    <x v="0"/>
  </r>
  <r>
    <n v="2664"/>
    <x v="5"/>
    <x v="1"/>
    <x v="4"/>
    <x v="1"/>
    <n v="52"/>
    <s v="Wisconsin"/>
    <x v="0"/>
    <x v="5"/>
    <x v="3"/>
    <x v="3"/>
    <x v="1"/>
    <x v="1"/>
    <x v="1"/>
    <x v="1"/>
    <n v="23"/>
    <x v="4"/>
    <x v="2"/>
  </r>
  <r>
    <n v="2665"/>
    <x v="40"/>
    <x v="1"/>
    <x v="16"/>
    <x v="3"/>
    <n v="84"/>
    <s v="Illinois"/>
    <x v="0"/>
    <x v="5"/>
    <x v="0"/>
    <x v="4"/>
    <x v="1"/>
    <x v="5"/>
    <x v="1"/>
    <x v="1"/>
    <n v="37"/>
    <x v="3"/>
    <x v="1"/>
  </r>
  <r>
    <n v="2666"/>
    <x v="27"/>
    <x v="1"/>
    <x v="17"/>
    <x v="0"/>
    <n v="71"/>
    <s v="Louisiana"/>
    <x v="0"/>
    <x v="16"/>
    <x v="0"/>
    <x v="1"/>
    <x v="1"/>
    <x v="5"/>
    <x v="1"/>
    <x v="1"/>
    <n v="4"/>
    <x v="0"/>
    <x v="1"/>
  </r>
  <r>
    <n v="2667"/>
    <x v="34"/>
    <x v="1"/>
    <x v="3"/>
    <x v="1"/>
    <n v="95"/>
    <s v="Ohio"/>
    <x v="1"/>
    <x v="18"/>
    <x v="0"/>
    <x v="7"/>
    <x v="1"/>
    <x v="5"/>
    <x v="1"/>
    <x v="1"/>
    <n v="14"/>
    <x v="0"/>
    <x v="0"/>
  </r>
  <r>
    <n v="2668"/>
    <x v="39"/>
    <x v="1"/>
    <x v="23"/>
    <x v="1"/>
    <n v="47"/>
    <s v="Maryland"/>
    <x v="2"/>
    <x v="20"/>
    <x v="2"/>
    <x v="7"/>
    <x v="1"/>
    <x v="1"/>
    <x v="1"/>
    <x v="1"/>
    <n v="31"/>
    <x v="1"/>
    <x v="0"/>
  </r>
  <r>
    <n v="2669"/>
    <x v="35"/>
    <x v="1"/>
    <x v="7"/>
    <x v="2"/>
    <n v="75"/>
    <s v="Texas"/>
    <x v="2"/>
    <x v="13"/>
    <x v="2"/>
    <x v="6"/>
    <x v="1"/>
    <x v="2"/>
    <x v="1"/>
    <x v="1"/>
    <n v="9"/>
    <x v="3"/>
    <x v="3"/>
  </r>
  <r>
    <n v="2670"/>
    <x v="31"/>
    <x v="1"/>
    <x v="22"/>
    <x v="3"/>
    <n v="28"/>
    <s v="Illinois"/>
    <x v="0"/>
    <x v="11"/>
    <x v="1"/>
    <x v="11"/>
    <x v="1"/>
    <x v="1"/>
    <x v="1"/>
    <x v="1"/>
    <n v="31"/>
    <x v="2"/>
    <x v="1"/>
  </r>
  <r>
    <n v="2671"/>
    <x v="11"/>
    <x v="1"/>
    <x v="12"/>
    <x v="3"/>
    <n v="44"/>
    <s v="Pennsylvania"/>
    <x v="2"/>
    <x v="22"/>
    <x v="3"/>
    <x v="10"/>
    <x v="1"/>
    <x v="0"/>
    <x v="1"/>
    <x v="1"/>
    <n v="26"/>
    <x v="4"/>
    <x v="4"/>
  </r>
  <r>
    <n v="2672"/>
    <x v="43"/>
    <x v="1"/>
    <x v="3"/>
    <x v="1"/>
    <n v="64"/>
    <s v="Alabama"/>
    <x v="3"/>
    <x v="0"/>
    <x v="0"/>
    <x v="6"/>
    <x v="1"/>
    <x v="4"/>
    <x v="1"/>
    <x v="1"/>
    <n v="41"/>
    <x v="3"/>
    <x v="6"/>
  </r>
  <r>
    <n v="2673"/>
    <x v="19"/>
    <x v="1"/>
    <x v="23"/>
    <x v="1"/>
    <n v="28"/>
    <s v="West Virginia"/>
    <x v="2"/>
    <x v="1"/>
    <x v="1"/>
    <x v="3"/>
    <x v="1"/>
    <x v="3"/>
    <x v="1"/>
    <x v="1"/>
    <n v="13"/>
    <x v="1"/>
    <x v="2"/>
  </r>
  <r>
    <n v="2674"/>
    <x v="29"/>
    <x v="1"/>
    <x v="15"/>
    <x v="0"/>
    <n v="21"/>
    <s v="Nevada"/>
    <x v="2"/>
    <x v="8"/>
    <x v="2"/>
    <x v="5"/>
    <x v="1"/>
    <x v="4"/>
    <x v="1"/>
    <x v="1"/>
    <n v="4"/>
    <x v="1"/>
    <x v="5"/>
  </r>
  <r>
    <n v="2675"/>
    <x v="37"/>
    <x v="1"/>
    <x v="19"/>
    <x v="3"/>
    <n v="41"/>
    <s v="Florida"/>
    <x v="1"/>
    <x v="4"/>
    <x v="3"/>
    <x v="13"/>
    <x v="1"/>
    <x v="0"/>
    <x v="1"/>
    <x v="1"/>
    <n v="15"/>
    <x v="1"/>
    <x v="6"/>
  </r>
  <r>
    <n v="2676"/>
    <x v="41"/>
    <x v="1"/>
    <x v="6"/>
    <x v="0"/>
    <n v="38"/>
    <s v="Virginia"/>
    <x v="2"/>
    <x v="15"/>
    <x v="0"/>
    <x v="23"/>
    <x v="1"/>
    <x v="1"/>
    <x v="1"/>
    <x v="1"/>
    <n v="38"/>
    <x v="1"/>
    <x v="4"/>
  </r>
  <r>
    <n v="2677"/>
    <x v="49"/>
    <x v="1"/>
    <x v="21"/>
    <x v="3"/>
    <n v="77"/>
    <s v="Kentucky"/>
    <x v="2"/>
    <x v="1"/>
    <x v="1"/>
    <x v="15"/>
    <x v="1"/>
    <x v="1"/>
    <x v="1"/>
    <x v="1"/>
    <n v="3"/>
    <x v="1"/>
    <x v="0"/>
  </r>
  <r>
    <n v="2678"/>
    <x v="4"/>
    <x v="1"/>
    <x v="6"/>
    <x v="0"/>
    <n v="43"/>
    <s v="Connecticut"/>
    <x v="0"/>
    <x v="8"/>
    <x v="1"/>
    <x v="22"/>
    <x v="1"/>
    <x v="2"/>
    <x v="1"/>
    <x v="1"/>
    <n v="6"/>
    <x v="3"/>
    <x v="6"/>
  </r>
  <r>
    <n v="2679"/>
    <x v="23"/>
    <x v="1"/>
    <x v="22"/>
    <x v="3"/>
    <n v="91"/>
    <s v="Montana"/>
    <x v="2"/>
    <x v="23"/>
    <x v="1"/>
    <x v="23"/>
    <x v="1"/>
    <x v="4"/>
    <x v="1"/>
    <x v="1"/>
    <n v="34"/>
    <x v="2"/>
    <x v="4"/>
  </r>
  <r>
    <n v="2680"/>
    <x v="10"/>
    <x v="1"/>
    <x v="6"/>
    <x v="0"/>
    <n v="68"/>
    <s v="Montana"/>
    <x v="1"/>
    <x v="22"/>
    <x v="1"/>
    <x v="22"/>
    <x v="1"/>
    <x v="0"/>
    <x v="1"/>
    <x v="1"/>
    <n v="7"/>
    <x v="5"/>
    <x v="3"/>
  </r>
  <r>
    <n v="2681"/>
    <x v="42"/>
    <x v="1"/>
    <x v="20"/>
    <x v="0"/>
    <n v="37"/>
    <s v="Nebraska"/>
    <x v="0"/>
    <x v="21"/>
    <x v="3"/>
    <x v="13"/>
    <x v="1"/>
    <x v="2"/>
    <x v="1"/>
    <x v="1"/>
    <n v="21"/>
    <x v="0"/>
    <x v="2"/>
  </r>
  <r>
    <n v="2682"/>
    <x v="51"/>
    <x v="1"/>
    <x v="9"/>
    <x v="1"/>
    <n v="23"/>
    <s v="Massachusetts"/>
    <x v="0"/>
    <x v="8"/>
    <x v="2"/>
    <x v="6"/>
    <x v="1"/>
    <x v="3"/>
    <x v="1"/>
    <x v="1"/>
    <n v="17"/>
    <x v="5"/>
    <x v="5"/>
  </r>
  <r>
    <n v="2683"/>
    <x v="35"/>
    <x v="1"/>
    <x v="4"/>
    <x v="1"/>
    <n v="65"/>
    <s v="North Carolina"/>
    <x v="0"/>
    <x v="1"/>
    <x v="0"/>
    <x v="20"/>
    <x v="1"/>
    <x v="4"/>
    <x v="1"/>
    <x v="1"/>
    <n v="5"/>
    <x v="0"/>
    <x v="6"/>
  </r>
  <r>
    <n v="2684"/>
    <x v="33"/>
    <x v="1"/>
    <x v="21"/>
    <x v="3"/>
    <n v="30"/>
    <s v="Montana"/>
    <x v="2"/>
    <x v="21"/>
    <x v="2"/>
    <x v="19"/>
    <x v="1"/>
    <x v="2"/>
    <x v="1"/>
    <x v="1"/>
    <n v="21"/>
    <x v="1"/>
    <x v="0"/>
  </r>
  <r>
    <n v="2685"/>
    <x v="5"/>
    <x v="1"/>
    <x v="10"/>
    <x v="0"/>
    <n v="45"/>
    <s v="Washington"/>
    <x v="2"/>
    <x v="0"/>
    <x v="2"/>
    <x v="10"/>
    <x v="1"/>
    <x v="1"/>
    <x v="1"/>
    <x v="1"/>
    <n v="42"/>
    <x v="2"/>
    <x v="4"/>
  </r>
  <r>
    <n v="2686"/>
    <x v="19"/>
    <x v="1"/>
    <x v="23"/>
    <x v="1"/>
    <n v="25"/>
    <s v="Virginia"/>
    <x v="2"/>
    <x v="0"/>
    <x v="0"/>
    <x v="2"/>
    <x v="1"/>
    <x v="0"/>
    <x v="1"/>
    <x v="1"/>
    <n v="49"/>
    <x v="2"/>
    <x v="3"/>
  </r>
  <r>
    <n v="2687"/>
    <x v="37"/>
    <x v="1"/>
    <x v="20"/>
    <x v="0"/>
    <n v="72"/>
    <s v="Georgia"/>
    <x v="2"/>
    <x v="13"/>
    <x v="0"/>
    <x v="22"/>
    <x v="1"/>
    <x v="4"/>
    <x v="1"/>
    <x v="1"/>
    <n v="33"/>
    <x v="1"/>
    <x v="0"/>
  </r>
  <r>
    <n v="2688"/>
    <x v="12"/>
    <x v="1"/>
    <x v="10"/>
    <x v="0"/>
    <n v="75"/>
    <s v="Delaware"/>
    <x v="2"/>
    <x v="3"/>
    <x v="3"/>
    <x v="15"/>
    <x v="1"/>
    <x v="4"/>
    <x v="1"/>
    <x v="1"/>
    <n v="12"/>
    <x v="5"/>
    <x v="4"/>
  </r>
  <r>
    <n v="2689"/>
    <x v="10"/>
    <x v="1"/>
    <x v="8"/>
    <x v="3"/>
    <n v="63"/>
    <s v="West Virginia"/>
    <x v="3"/>
    <x v="2"/>
    <x v="1"/>
    <x v="3"/>
    <x v="1"/>
    <x v="4"/>
    <x v="1"/>
    <x v="1"/>
    <n v="18"/>
    <x v="2"/>
    <x v="6"/>
  </r>
  <r>
    <n v="2690"/>
    <x v="26"/>
    <x v="1"/>
    <x v="0"/>
    <x v="0"/>
    <n v="35"/>
    <s v="Wyoming"/>
    <x v="2"/>
    <x v="20"/>
    <x v="3"/>
    <x v="20"/>
    <x v="1"/>
    <x v="3"/>
    <x v="1"/>
    <x v="1"/>
    <n v="47"/>
    <x v="3"/>
    <x v="3"/>
  </r>
  <r>
    <n v="2691"/>
    <x v="42"/>
    <x v="1"/>
    <x v="22"/>
    <x v="3"/>
    <n v="32"/>
    <s v="New Mexico"/>
    <x v="0"/>
    <x v="22"/>
    <x v="2"/>
    <x v="10"/>
    <x v="1"/>
    <x v="1"/>
    <x v="1"/>
    <x v="1"/>
    <n v="18"/>
    <x v="4"/>
    <x v="1"/>
  </r>
  <r>
    <n v="2692"/>
    <x v="49"/>
    <x v="1"/>
    <x v="13"/>
    <x v="0"/>
    <n v="25"/>
    <s v="Nebraska"/>
    <x v="0"/>
    <x v="24"/>
    <x v="0"/>
    <x v="13"/>
    <x v="1"/>
    <x v="4"/>
    <x v="1"/>
    <x v="1"/>
    <n v="48"/>
    <x v="1"/>
    <x v="5"/>
  </r>
  <r>
    <n v="2693"/>
    <x v="37"/>
    <x v="1"/>
    <x v="4"/>
    <x v="1"/>
    <n v="90"/>
    <s v="Washington"/>
    <x v="3"/>
    <x v="10"/>
    <x v="1"/>
    <x v="19"/>
    <x v="1"/>
    <x v="1"/>
    <x v="1"/>
    <x v="1"/>
    <n v="18"/>
    <x v="5"/>
    <x v="6"/>
  </r>
  <r>
    <n v="2694"/>
    <x v="0"/>
    <x v="1"/>
    <x v="23"/>
    <x v="1"/>
    <n v="70"/>
    <s v="Hawaii"/>
    <x v="0"/>
    <x v="12"/>
    <x v="2"/>
    <x v="5"/>
    <x v="1"/>
    <x v="3"/>
    <x v="1"/>
    <x v="1"/>
    <n v="46"/>
    <x v="1"/>
    <x v="3"/>
  </r>
  <r>
    <n v="2695"/>
    <x v="17"/>
    <x v="1"/>
    <x v="12"/>
    <x v="3"/>
    <n v="27"/>
    <s v="Louisiana"/>
    <x v="2"/>
    <x v="8"/>
    <x v="1"/>
    <x v="8"/>
    <x v="1"/>
    <x v="0"/>
    <x v="1"/>
    <x v="1"/>
    <n v="34"/>
    <x v="2"/>
    <x v="6"/>
  </r>
  <r>
    <n v="2696"/>
    <x v="2"/>
    <x v="1"/>
    <x v="19"/>
    <x v="3"/>
    <n v="92"/>
    <s v="Tennessee"/>
    <x v="2"/>
    <x v="20"/>
    <x v="3"/>
    <x v="15"/>
    <x v="1"/>
    <x v="3"/>
    <x v="1"/>
    <x v="1"/>
    <n v="10"/>
    <x v="3"/>
    <x v="4"/>
  </r>
  <r>
    <n v="2697"/>
    <x v="9"/>
    <x v="1"/>
    <x v="7"/>
    <x v="2"/>
    <n v="20"/>
    <s v="South Dakota"/>
    <x v="2"/>
    <x v="3"/>
    <x v="1"/>
    <x v="10"/>
    <x v="1"/>
    <x v="1"/>
    <x v="1"/>
    <x v="1"/>
    <n v="12"/>
    <x v="5"/>
    <x v="5"/>
  </r>
  <r>
    <n v="2698"/>
    <x v="32"/>
    <x v="1"/>
    <x v="14"/>
    <x v="2"/>
    <n v="52"/>
    <s v="Delaware"/>
    <x v="0"/>
    <x v="16"/>
    <x v="0"/>
    <x v="4"/>
    <x v="1"/>
    <x v="3"/>
    <x v="1"/>
    <x v="1"/>
    <n v="36"/>
    <x v="4"/>
    <x v="3"/>
  </r>
  <r>
    <n v="2699"/>
    <x v="0"/>
    <x v="1"/>
    <x v="15"/>
    <x v="0"/>
    <n v="57"/>
    <s v="Virginia"/>
    <x v="2"/>
    <x v="23"/>
    <x v="2"/>
    <x v="15"/>
    <x v="1"/>
    <x v="5"/>
    <x v="1"/>
    <x v="1"/>
    <n v="34"/>
    <x v="0"/>
    <x v="3"/>
  </r>
  <r>
    <n v="2700"/>
    <x v="15"/>
    <x v="1"/>
    <x v="23"/>
    <x v="1"/>
    <n v="96"/>
    <s v="Utah"/>
    <x v="2"/>
    <x v="10"/>
    <x v="3"/>
    <x v="15"/>
    <x v="1"/>
    <x v="4"/>
    <x v="1"/>
    <x v="1"/>
    <n v="49"/>
    <x v="5"/>
    <x v="2"/>
  </r>
  <r>
    <n v="2701"/>
    <x v="40"/>
    <x v="1"/>
    <x v="17"/>
    <x v="0"/>
    <n v="68"/>
    <s v="California"/>
    <x v="3"/>
    <x v="8"/>
    <x v="0"/>
    <x v="4"/>
    <x v="1"/>
    <x v="3"/>
    <x v="1"/>
    <x v="1"/>
    <n v="36"/>
    <x v="1"/>
    <x v="1"/>
  </r>
  <r>
    <n v="2702"/>
    <x v="34"/>
    <x v="1"/>
    <x v="1"/>
    <x v="0"/>
    <n v="30"/>
    <s v="Idaho"/>
    <x v="0"/>
    <x v="5"/>
    <x v="2"/>
    <x v="11"/>
    <x v="1"/>
    <x v="5"/>
    <x v="1"/>
    <x v="1"/>
    <n v="18"/>
    <x v="4"/>
    <x v="0"/>
  </r>
  <r>
    <n v="2703"/>
    <x v="27"/>
    <x v="1"/>
    <x v="9"/>
    <x v="1"/>
    <n v="37"/>
    <s v="Texas"/>
    <x v="0"/>
    <x v="0"/>
    <x v="3"/>
    <x v="17"/>
    <x v="1"/>
    <x v="2"/>
    <x v="1"/>
    <x v="1"/>
    <n v="39"/>
    <x v="5"/>
    <x v="0"/>
  </r>
  <r>
    <n v="2704"/>
    <x v="19"/>
    <x v="1"/>
    <x v="18"/>
    <x v="3"/>
    <n v="42"/>
    <s v="Tennessee"/>
    <x v="3"/>
    <x v="8"/>
    <x v="0"/>
    <x v="14"/>
    <x v="1"/>
    <x v="1"/>
    <x v="1"/>
    <x v="1"/>
    <n v="34"/>
    <x v="3"/>
    <x v="1"/>
  </r>
  <r>
    <n v="2705"/>
    <x v="16"/>
    <x v="1"/>
    <x v="10"/>
    <x v="0"/>
    <n v="54"/>
    <s v="Tennessee"/>
    <x v="0"/>
    <x v="19"/>
    <x v="1"/>
    <x v="23"/>
    <x v="1"/>
    <x v="2"/>
    <x v="1"/>
    <x v="1"/>
    <n v="35"/>
    <x v="5"/>
    <x v="1"/>
  </r>
  <r>
    <n v="2706"/>
    <x v="13"/>
    <x v="1"/>
    <x v="14"/>
    <x v="2"/>
    <n v="81"/>
    <s v="Washington"/>
    <x v="1"/>
    <x v="2"/>
    <x v="1"/>
    <x v="16"/>
    <x v="1"/>
    <x v="5"/>
    <x v="1"/>
    <x v="1"/>
    <n v="1"/>
    <x v="2"/>
    <x v="4"/>
  </r>
  <r>
    <n v="2707"/>
    <x v="41"/>
    <x v="1"/>
    <x v="9"/>
    <x v="1"/>
    <n v="40"/>
    <s v="Alabama"/>
    <x v="1"/>
    <x v="24"/>
    <x v="1"/>
    <x v="0"/>
    <x v="1"/>
    <x v="0"/>
    <x v="1"/>
    <x v="1"/>
    <n v="48"/>
    <x v="5"/>
    <x v="3"/>
  </r>
  <r>
    <n v="2708"/>
    <x v="45"/>
    <x v="1"/>
    <x v="21"/>
    <x v="3"/>
    <n v="88"/>
    <s v="Nebraska"/>
    <x v="2"/>
    <x v="6"/>
    <x v="3"/>
    <x v="19"/>
    <x v="1"/>
    <x v="3"/>
    <x v="1"/>
    <x v="1"/>
    <n v="19"/>
    <x v="1"/>
    <x v="1"/>
  </r>
  <r>
    <n v="2709"/>
    <x v="9"/>
    <x v="1"/>
    <x v="10"/>
    <x v="0"/>
    <n v="94"/>
    <s v="Alabama"/>
    <x v="2"/>
    <x v="11"/>
    <x v="2"/>
    <x v="13"/>
    <x v="1"/>
    <x v="5"/>
    <x v="1"/>
    <x v="1"/>
    <n v="44"/>
    <x v="5"/>
    <x v="1"/>
  </r>
  <r>
    <n v="2710"/>
    <x v="25"/>
    <x v="1"/>
    <x v="5"/>
    <x v="0"/>
    <n v="54"/>
    <s v="Illinois"/>
    <x v="1"/>
    <x v="17"/>
    <x v="0"/>
    <x v="3"/>
    <x v="1"/>
    <x v="3"/>
    <x v="1"/>
    <x v="1"/>
    <n v="9"/>
    <x v="2"/>
    <x v="4"/>
  </r>
  <r>
    <n v="2711"/>
    <x v="28"/>
    <x v="1"/>
    <x v="14"/>
    <x v="2"/>
    <n v="51"/>
    <s v="Wisconsin"/>
    <x v="0"/>
    <x v="7"/>
    <x v="2"/>
    <x v="10"/>
    <x v="1"/>
    <x v="3"/>
    <x v="1"/>
    <x v="1"/>
    <n v="3"/>
    <x v="4"/>
    <x v="0"/>
  </r>
  <r>
    <n v="2712"/>
    <x v="11"/>
    <x v="1"/>
    <x v="12"/>
    <x v="3"/>
    <n v="22"/>
    <s v="Nebraska"/>
    <x v="0"/>
    <x v="16"/>
    <x v="1"/>
    <x v="17"/>
    <x v="1"/>
    <x v="3"/>
    <x v="1"/>
    <x v="1"/>
    <n v="50"/>
    <x v="0"/>
    <x v="5"/>
  </r>
  <r>
    <n v="2713"/>
    <x v="43"/>
    <x v="1"/>
    <x v="14"/>
    <x v="2"/>
    <n v="95"/>
    <s v="North Dakota"/>
    <x v="0"/>
    <x v="18"/>
    <x v="3"/>
    <x v="12"/>
    <x v="1"/>
    <x v="3"/>
    <x v="1"/>
    <x v="1"/>
    <n v="7"/>
    <x v="5"/>
    <x v="3"/>
  </r>
  <r>
    <n v="2714"/>
    <x v="1"/>
    <x v="1"/>
    <x v="7"/>
    <x v="2"/>
    <n v="57"/>
    <s v="Mississippi"/>
    <x v="2"/>
    <x v="23"/>
    <x v="3"/>
    <x v="22"/>
    <x v="1"/>
    <x v="4"/>
    <x v="1"/>
    <x v="1"/>
    <n v="20"/>
    <x v="5"/>
    <x v="2"/>
  </r>
  <r>
    <n v="2715"/>
    <x v="10"/>
    <x v="1"/>
    <x v="1"/>
    <x v="0"/>
    <n v="45"/>
    <s v="Iowa"/>
    <x v="1"/>
    <x v="8"/>
    <x v="0"/>
    <x v="15"/>
    <x v="1"/>
    <x v="5"/>
    <x v="1"/>
    <x v="1"/>
    <n v="16"/>
    <x v="2"/>
    <x v="4"/>
  </r>
  <r>
    <n v="2716"/>
    <x v="15"/>
    <x v="1"/>
    <x v="4"/>
    <x v="1"/>
    <n v="92"/>
    <s v="Mississippi"/>
    <x v="3"/>
    <x v="6"/>
    <x v="0"/>
    <x v="7"/>
    <x v="1"/>
    <x v="0"/>
    <x v="1"/>
    <x v="1"/>
    <n v="29"/>
    <x v="3"/>
    <x v="0"/>
  </r>
  <r>
    <n v="2717"/>
    <x v="36"/>
    <x v="1"/>
    <x v="9"/>
    <x v="1"/>
    <n v="40"/>
    <s v="Colorado"/>
    <x v="0"/>
    <x v="13"/>
    <x v="1"/>
    <x v="2"/>
    <x v="1"/>
    <x v="5"/>
    <x v="1"/>
    <x v="1"/>
    <n v="21"/>
    <x v="5"/>
    <x v="1"/>
  </r>
  <r>
    <n v="2718"/>
    <x v="20"/>
    <x v="1"/>
    <x v="12"/>
    <x v="3"/>
    <n v="62"/>
    <s v="Nebraska"/>
    <x v="3"/>
    <x v="19"/>
    <x v="0"/>
    <x v="24"/>
    <x v="1"/>
    <x v="1"/>
    <x v="1"/>
    <x v="1"/>
    <n v="19"/>
    <x v="2"/>
    <x v="6"/>
  </r>
  <r>
    <n v="2719"/>
    <x v="40"/>
    <x v="1"/>
    <x v="6"/>
    <x v="0"/>
    <n v="90"/>
    <s v="Virginia"/>
    <x v="2"/>
    <x v="15"/>
    <x v="0"/>
    <x v="8"/>
    <x v="1"/>
    <x v="2"/>
    <x v="1"/>
    <x v="1"/>
    <n v="10"/>
    <x v="0"/>
    <x v="4"/>
  </r>
  <r>
    <n v="2720"/>
    <x v="28"/>
    <x v="1"/>
    <x v="15"/>
    <x v="0"/>
    <n v="82"/>
    <s v="Louisiana"/>
    <x v="1"/>
    <x v="15"/>
    <x v="3"/>
    <x v="19"/>
    <x v="1"/>
    <x v="1"/>
    <x v="1"/>
    <x v="1"/>
    <n v="4"/>
    <x v="4"/>
    <x v="5"/>
  </r>
  <r>
    <n v="2721"/>
    <x v="0"/>
    <x v="1"/>
    <x v="18"/>
    <x v="3"/>
    <n v="52"/>
    <s v="Maryland"/>
    <x v="2"/>
    <x v="15"/>
    <x v="1"/>
    <x v="11"/>
    <x v="1"/>
    <x v="5"/>
    <x v="1"/>
    <x v="1"/>
    <n v="45"/>
    <x v="4"/>
    <x v="3"/>
  </r>
  <r>
    <n v="2722"/>
    <x v="1"/>
    <x v="1"/>
    <x v="3"/>
    <x v="1"/>
    <n v="70"/>
    <s v="Minnesota"/>
    <x v="1"/>
    <x v="11"/>
    <x v="1"/>
    <x v="8"/>
    <x v="1"/>
    <x v="1"/>
    <x v="1"/>
    <x v="1"/>
    <n v="17"/>
    <x v="3"/>
    <x v="0"/>
  </r>
  <r>
    <n v="2723"/>
    <x v="51"/>
    <x v="1"/>
    <x v="19"/>
    <x v="3"/>
    <n v="83"/>
    <s v="Maine"/>
    <x v="2"/>
    <x v="14"/>
    <x v="1"/>
    <x v="11"/>
    <x v="1"/>
    <x v="4"/>
    <x v="1"/>
    <x v="1"/>
    <n v="22"/>
    <x v="3"/>
    <x v="0"/>
  </r>
  <r>
    <n v="2724"/>
    <x v="22"/>
    <x v="1"/>
    <x v="9"/>
    <x v="1"/>
    <n v="49"/>
    <s v="Texas"/>
    <x v="3"/>
    <x v="18"/>
    <x v="2"/>
    <x v="3"/>
    <x v="1"/>
    <x v="5"/>
    <x v="1"/>
    <x v="1"/>
    <n v="3"/>
    <x v="3"/>
    <x v="6"/>
  </r>
  <r>
    <n v="2725"/>
    <x v="16"/>
    <x v="1"/>
    <x v="4"/>
    <x v="1"/>
    <n v="91"/>
    <s v="Missouri"/>
    <x v="2"/>
    <x v="18"/>
    <x v="1"/>
    <x v="25"/>
    <x v="1"/>
    <x v="2"/>
    <x v="1"/>
    <x v="1"/>
    <n v="11"/>
    <x v="5"/>
    <x v="0"/>
  </r>
  <r>
    <n v="2726"/>
    <x v="14"/>
    <x v="1"/>
    <x v="21"/>
    <x v="3"/>
    <n v="99"/>
    <s v="Mississippi"/>
    <x v="1"/>
    <x v="10"/>
    <x v="2"/>
    <x v="2"/>
    <x v="1"/>
    <x v="1"/>
    <x v="1"/>
    <x v="1"/>
    <n v="4"/>
    <x v="5"/>
    <x v="2"/>
  </r>
  <r>
    <n v="2727"/>
    <x v="23"/>
    <x v="1"/>
    <x v="22"/>
    <x v="3"/>
    <n v="92"/>
    <s v="Michigan"/>
    <x v="0"/>
    <x v="24"/>
    <x v="0"/>
    <x v="13"/>
    <x v="1"/>
    <x v="1"/>
    <x v="1"/>
    <x v="1"/>
    <n v="11"/>
    <x v="3"/>
    <x v="4"/>
  </r>
  <r>
    <n v="2728"/>
    <x v="37"/>
    <x v="1"/>
    <x v="5"/>
    <x v="0"/>
    <n v="87"/>
    <s v="Colorado"/>
    <x v="0"/>
    <x v="4"/>
    <x v="0"/>
    <x v="18"/>
    <x v="1"/>
    <x v="4"/>
    <x v="1"/>
    <x v="1"/>
    <n v="47"/>
    <x v="2"/>
    <x v="0"/>
  </r>
  <r>
    <n v="2729"/>
    <x v="8"/>
    <x v="1"/>
    <x v="11"/>
    <x v="0"/>
    <n v="28"/>
    <s v="Florida"/>
    <x v="2"/>
    <x v="6"/>
    <x v="0"/>
    <x v="17"/>
    <x v="1"/>
    <x v="0"/>
    <x v="1"/>
    <x v="1"/>
    <n v="17"/>
    <x v="5"/>
    <x v="1"/>
  </r>
  <r>
    <n v="2730"/>
    <x v="18"/>
    <x v="1"/>
    <x v="24"/>
    <x v="3"/>
    <n v="71"/>
    <s v="Montana"/>
    <x v="1"/>
    <x v="10"/>
    <x v="2"/>
    <x v="7"/>
    <x v="1"/>
    <x v="1"/>
    <x v="1"/>
    <x v="1"/>
    <n v="32"/>
    <x v="2"/>
    <x v="5"/>
  </r>
  <r>
    <n v="2731"/>
    <x v="51"/>
    <x v="1"/>
    <x v="24"/>
    <x v="3"/>
    <n v="32"/>
    <s v="Wisconsin"/>
    <x v="2"/>
    <x v="11"/>
    <x v="0"/>
    <x v="7"/>
    <x v="1"/>
    <x v="5"/>
    <x v="1"/>
    <x v="1"/>
    <n v="37"/>
    <x v="4"/>
    <x v="2"/>
  </r>
  <r>
    <n v="2732"/>
    <x v="16"/>
    <x v="1"/>
    <x v="8"/>
    <x v="3"/>
    <n v="33"/>
    <s v="Wisconsin"/>
    <x v="2"/>
    <x v="16"/>
    <x v="2"/>
    <x v="25"/>
    <x v="1"/>
    <x v="4"/>
    <x v="1"/>
    <x v="1"/>
    <n v="44"/>
    <x v="4"/>
    <x v="3"/>
  </r>
  <r>
    <n v="2733"/>
    <x v="3"/>
    <x v="1"/>
    <x v="20"/>
    <x v="0"/>
    <n v="75"/>
    <s v="Delaware"/>
    <x v="0"/>
    <x v="20"/>
    <x v="0"/>
    <x v="19"/>
    <x v="1"/>
    <x v="5"/>
    <x v="1"/>
    <x v="1"/>
    <n v="27"/>
    <x v="5"/>
    <x v="6"/>
  </r>
  <r>
    <n v="2734"/>
    <x v="18"/>
    <x v="1"/>
    <x v="21"/>
    <x v="3"/>
    <n v="83"/>
    <s v="North Carolina"/>
    <x v="2"/>
    <x v="23"/>
    <x v="2"/>
    <x v="10"/>
    <x v="1"/>
    <x v="0"/>
    <x v="1"/>
    <x v="1"/>
    <n v="46"/>
    <x v="3"/>
    <x v="2"/>
  </r>
  <r>
    <n v="2735"/>
    <x v="6"/>
    <x v="1"/>
    <x v="2"/>
    <x v="0"/>
    <n v="93"/>
    <s v="New York"/>
    <x v="3"/>
    <x v="22"/>
    <x v="2"/>
    <x v="2"/>
    <x v="1"/>
    <x v="4"/>
    <x v="1"/>
    <x v="1"/>
    <n v="13"/>
    <x v="1"/>
    <x v="4"/>
  </r>
  <r>
    <n v="2736"/>
    <x v="5"/>
    <x v="1"/>
    <x v="11"/>
    <x v="0"/>
    <n v="29"/>
    <s v="California"/>
    <x v="2"/>
    <x v="22"/>
    <x v="1"/>
    <x v="21"/>
    <x v="1"/>
    <x v="0"/>
    <x v="1"/>
    <x v="1"/>
    <n v="2"/>
    <x v="3"/>
    <x v="4"/>
  </r>
  <r>
    <n v="2737"/>
    <x v="42"/>
    <x v="1"/>
    <x v="15"/>
    <x v="0"/>
    <n v="25"/>
    <s v="Montana"/>
    <x v="2"/>
    <x v="6"/>
    <x v="1"/>
    <x v="6"/>
    <x v="1"/>
    <x v="5"/>
    <x v="1"/>
    <x v="1"/>
    <n v="45"/>
    <x v="2"/>
    <x v="2"/>
  </r>
  <r>
    <n v="2738"/>
    <x v="9"/>
    <x v="1"/>
    <x v="16"/>
    <x v="3"/>
    <n v="76"/>
    <s v="North Carolina"/>
    <x v="1"/>
    <x v="21"/>
    <x v="1"/>
    <x v="14"/>
    <x v="1"/>
    <x v="1"/>
    <x v="1"/>
    <x v="1"/>
    <n v="35"/>
    <x v="1"/>
    <x v="6"/>
  </r>
  <r>
    <n v="2739"/>
    <x v="2"/>
    <x v="1"/>
    <x v="4"/>
    <x v="1"/>
    <n v="81"/>
    <s v="Ohio"/>
    <x v="2"/>
    <x v="4"/>
    <x v="2"/>
    <x v="24"/>
    <x v="1"/>
    <x v="4"/>
    <x v="1"/>
    <x v="1"/>
    <n v="39"/>
    <x v="0"/>
    <x v="6"/>
  </r>
  <r>
    <n v="2740"/>
    <x v="23"/>
    <x v="1"/>
    <x v="5"/>
    <x v="0"/>
    <n v="80"/>
    <s v="Alaska"/>
    <x v="3"/>
    <x v="24"/>
    <x v="0"/>
    <x v="25"/>
    <x v="1"/>
    <x v="5"/>
    <x v="1"/>
    <x v="1"/>
    <n v="39"/>
    <x v="2"/>
    <x v="6"/>
  </r>
  <r>
    <n v="2741"/>
    <x v="1"/>
    <x v="1"/>
    <x v="12"/>
    <x v="3"/>
    <n v="70"/>
    <s v="Pennsylvania"/>
    <x v="2"/>
    <x v="12"/>
    <x v="2"/>
    <x v="8"/>
    <x v="1"/>
    <x v="1"/>
    <x v="1"/>
    <x v="1"/>
    <n v="34"/>
    <x v="4"/>
    <x v="0"/>
  </r>
  <r>
    <n v="2742"/>
    <x v="33"/>
    <x v="1"/>
    <x v="10"/>
    <x v="0"/>
    <n v="81"/>
    <s v="Maine"/>
    <x v="0"/>
    <x v="22"/>
    <x v="3"/>
    <x v="8"/>
    <x v="1"/>
    <x v="4"/>
    <x v="1"/>
    <x v="1"/>
    <n v="41"/>
    <x v="0"/>
    <x v="5"/>
  </r>
  <r>
    <n v="2743"/>
    <x v="7"/>
    <x v="1"/>
    <x v="9"/>
    <x v="1"/>
    <n v="86"/>
    <s v="Texas"/>
    <x v="2"/>
    <x v="13"/>
    <x v="1"/>
    <x v="20"/>
    <x v="1"/>
    <x v="1"/>
    <x v="1"/>
    <x v="1"/>
    <n v="47"/>
    <x v="5"/>
    <x v="2"/>
  </r>
  <r>
    <n v="2744"/>
    <x v="12"/>
    <x v="1"/>
    <x v="22"/>
    <x v="3"/>
    <n v="94"/>
    <s v="New Jersey"/>
    <x v="1"/>
    <x v="19"/>
    <x v="3"/>
    <x v="7"/>
    <x v="1"/>
    <x v="4"/>
    <x v="1"/>
    <x v="1"/>
    <n v="17"/>
    <x v="0"/>
    <x v="3"/>
  </r>
  <r>
    <n v="2745"/>
    <x v="21"/>
    <x v="1"/>
    <x v="5"/>
    <x v="0"/>
    <n v="66"/>
    <s v="Wyoming"/>
    <x v="2"/>
    <x v="5"/>
    <x v="0"/>
    <x v="13"/>
    <x v="1"/>
    <x v="5"/>
    <x v="1"/>
    <x v="1"/>
    <n v="40"/>
    <x v="2"/>
    <x v="5"/>
  </r>
  <r>
    <n v="2746"/>
    <x v="48"/>
    <x v="1"/>
    <x v="23"/>
    <x v="1"/>
    <n v="98"/>
    <s v="Michigan"/>
    <x v="2"/>
    <x v="23"/>
    <x v="2"/>
    <x v="7"/>
    <x v="1"/>
    <x v="3"/>
    <x v="1"/>
    <x v="1"/>
    <n v="44"/>
    <x v="3"/>
    <x v="4"/>
  </r>
  <r>
    <n v="2747"/>
    <x v="31"/>
    <x v="1"/>
    <x v="15"/>
    <x v="0"/>
    <n v="25"/>
    <s v="Ohio"/>
    <x v="2"/>
    <x v="20"/>
    <x v="3"/>
    <x v="18"/>
    <x v="1"/>
    <x v="3"/>
    <x v="1"/>
    <x v="1"/>
    <n v="21"/>
    <x v="3"/>
    <x v="6"/>
  </r>
  <r>
    <n v="2748"/>
    <x v="20"/>
    <x v="1"/>
    <x v="2"/>
    <x v="0"/>
    <n v="62"/>
    <s v="West Virginia"/>
    <x v="2"/>
    <x v="11"/>
    <x v="0"/>
    <x v="0"/>
    <x v="1"/>
    <x v="1"/>
    <x v="1"/>
    <x v="1"/>
    <n v="21"/>
    <x v="2"/>
    <x v="6"/>
  </r>
  <r>
    <n v="2749"/>
    <x v="41"/>
    <x v="1"/>
    <x v="14"/>
    <x v="2"/>
    <n v="98"/>
    <s v="Virginia"/>
    <x v="0"/>
    <x v="2"/>
    <x v="1"/>
    <x v="21"/>
    <x v="1"/>
    <x v="1"/>
    <x v="1"/>
    <x v="1"/>
    <n v="16"/>
    <x v="0"/>
    <x v="2"/>
  </r>
  <r>
    <n v="2750"/>
    <x v="14"/>
    <x v="1"/>
    <x v="14"/>
    <x v="2"/>
    <n v="53"/>
    <s v="Vermont"/>
    <x v="2"/>
    <x v="17"/>
    <x v="1"/>
    <x v="23"/>
    <x v="1"/>
    <x v="3"/>
    <x v="1"/>
    <x v="1"/>
    <n v="15"/>
    <x v="4"/>
    <x v="2"/>
  </r>
  <r>
    <n v="2751"/>
    <x v="47"/>
    <x v="1"/>
    <x v="3"/>
    <x v="1"/>
    <n v="66"/>
    <s v="Alaska"/>
    <x v="0"/>
    <x v="6"/>
    <x v="1"/>
    <x v="2"/>
    <x v="1"/>
    <x v="4"/>
    <x v="1"/>
    <x v="1"/>
    <n v="26"/>
    <x v="3"/>
    <x v="6"/>
  </r>
  <r>
    <n v="2752"/>
    <x v="7"/>
    <x v="1"/>
    <x v="10"/>
    <x v="0"/>
    <n v="52"/>
    <s v="Minnesota"/>
    <x v="1"/>
    <x v="21"/>
    <x v="3"/>
    <x v="0"/>
    <x v="1"/>
    <x v="1"/>
    <x v="1"/>
    <x v="1"/>
    <n v="50"/>
    <x v="0"/>
    <x v="5"/>
  </r>
  <r>
    <n v="2753"/>
    <x v="39"/>
    <x v="1"/>
    <x v="1"/>
    <x v="0"/>
    <n v="64"/>
    <s v="Colorado"/>
    <x v="1"/>
    <x v="15"/>
    <x v="0"/>
    <x v="17"/>
    <x v="1"/>
    <x v="1"/>
    <x v="1"/>
    <x v="1"/>
    <n v="30"/>
    <x v="0"/>
    <x v="4"/>
  </r>
  <r>
    <n v="2754"/>
    <x v="28"/>
    <x v="1"/>
    <x v="24"/>
    <x v="3"/>
    <n v="59"/>
    <s v="Rhode Island"/>
    <x v="2"/>
    <x v="19"/>
    <x v="1"/>
    <x v="15"/>
    <x v="1"/>
    <x v="2"/>
    <x v="1"/>
    <x v="1"/>
    <n v="48"/>
    <x v="3"/>
    <x v="3"/>
  </r>
  <r>
    <n v="2755"/>
    <x v="35"/>
    <x v="1"/>
    <x v="12"/>
    <x v="3"/>
    <n v="61"/>
    <s v="New Jersey"/>
    <x v="0"/>
    <x v="9"/>
    <x v="2"/>
    <x v="15"/>
    <x v="1"/>
    <x v="1"/>
    <x v="1"/>
    <x v="1"/>
    <n v="21"/>
    <x v="0"/>
    <x v="4"/>
  </r>
  <r>
    <n v="2756"/>
    <x v="35"/>
    <x v="1"/>
    <x v="22"/>
    <x v="3"/>
    <n v="97"/>
    <s v="Nevada"/>
    <x v="2"/>
    <x v="21"/>
    <x v="0"/>
    <x v="13"/>
    <x v="1"/>
    <x v="5"/>
    <x v="1"/>
    <x v="1"/>
    <n v="18"/>
    <x v="2"/>
    <x v="2"/>
  </r>
  <r>
    <n v="2757"/>
    <x v="32"/>
    <x v="1"/>
    <x v="19"/>
    <x v="3"/>
    <n v="23"/>
    <s v="Minnesota"/>
    <x v="0"/>
    <x v="10"/>
    <x v="0"/>
    <x v="7"/>
    <x v="1"/>
    <x v="1"/>
    <x v="1"/>
    <x v="1"/>
    <n v="41"/>
    <x v="3"/>
    <x v="5"/>
  </r>
  <r>
    <n v="2758"/>
    <x v="31"/>
    <x v="1"/>
    <x v="19"/>
    <x v="3"/>
    <n v="98"/>
    <s v="Delaware"/>
    <x v="3"/>
    <x v="18"/>
    <x v="3"/>
    <x v="24"/>
    <x v="1"/>
    <x v="2"/>
    <x v="1"/>
    <x v="1"/>
    <n v="11"/>
    <x v="0"/>
    <x v="5"/>
  </r>
  <r>
    <n v="2759"/>
    <x v="45"/>
    <x v="1"/>
    <x v="0"/>
    <x v="0"/>
    <n v="98"/>
    <s v="Illinois"/>
    <x v="2"/>
    <x v="7"/>
    <x v="2"/>
    <x v="4"/>
    <x v="1"/>
    <x v="3"/>
    <x v="1"/>
    <x v="1"/>
    <n v="8"/>
    <x v="4"/>
    <x v="4"/>
  </r>
  <r>
    <n v="2760"/>
    <x v="33"/>
    <x v="1"/>
    <x v="9"/>
    <x v="1"/>
    <n v="59"/>
    <s v="Washington"/>
    <x v="2"/>
    <x v="2"/>
    <x v="2"/>
    <x v="20"/>
    <x v="1"/>
    <x v="1"/>
    <x v="1"/>
    <x v="1"/>
    <n v="42"/>
    <x v="1"/>
    <x v="6"/>
  </r>
  <r>
    <n v="2761"/>
    <x v="38"/>
    <x v="1"/>
    <x v="11"/>
    <x v="0"/>
    <n v="82"/>
    <s v="Alaska"/>
    <x v="1"/>
    <x v="10"/>
    <x v="3"/>
    <x v="16"/>
    <x v="1"/>
    <x v="2"/>
    <x v="1"/>
    <x v="1"/>
    <n v="41"/>
    <x v="2"/>
    <x v="4"/>
  </r>
  <r>
    <n v="2762"/>
    <x v="18"/>
    <x v="1"/>
    <x v="4"/>
    <x v="1"/>
    <n v="82"/>
    <s v="Michigan"/>
    <x v="2"/>
    <x v="7"/>
    <x v="3"/>
    <x v="23"/>
    <x v="1"/>
    <x v="2"/>
    <x v="1"/>
    <x v="1"/>
    <n v="3"/>
    <x v="2"/>
    <x v="6"/>
  </r>
  <r>
    <n v="2763"/>
    <x v="44"/>
    <x v="1"/>
    <x v="17"/>
    <x v="0"/>
    <n v="41"/>
    <s v="Georgia"/>
    <x v="2"/>
    <x v="4"/>
    <x v="3"/>
    <x v="22"/>
    <x v="1"/>
    <x v="5"/>
    <x v="1"/>
    <x v="1"/>
    <n v="10"/>
    <x v="5"/>
    <x v="6"/>
  </r>
  <r>
    <n v="2764"/>
    <x v="48"/>
    <x v="1"/>
    <x v="8"/>
    <x v="3"/>
    <n v="52"/>
    <s v="West Virginia"/>
    <x v="2"/>
    <x v="14"/>
    <x v="3"/>
    <x v="3"/>
    <x v="1"/>
    <x v="4"/>
    <x v="1"/>
    <x v="1"/>
    <n v="35"/>
    <x v="0"/>
    <x v="3"/>
  </r>
  <r>
    <n v="2765"/>
    <x v="6"/>
    <x v="1"/>
    <x v="1"/>
    <x v="0"/>
    <n v="41"/>
    <s v="Arizona"/>
    <x v="3"/>
    <x v="3"/>
    <x v="1"/>
    <x v="5"/>
    <x v="1"/>
    <x v="2"/>
    <x v="1"/>
    <x v="1"/>
    <n v="2"/>
    <x v="5"/>
    <x v="1"/>
  </r>
  <r>
    <n v="2766"/>
    <x v="14"/>
    <x v="1"/>
    <x v="24"/>
    <x v="3"/>
    <n v="70"/>
    <s v="Colorado"/>
    <x v="2"/>
    <x v="7"/>
    <x v="2"/>
    <x v="24"/>
    <x v="1"/>
    <x v="4"/>
    <x v="1"/>
    <x v="1"/>
    <n v="24"/>
    <x v="2"/>
    <x v="3"/>
  </r>
  <r>
    <n v="2767"/>
    <x v="17"/>
    <x v="1"/>
    <x v="10"/>
    <x v="0"/>
    <n v="91"/>
    <s v="Tennessee"/>
    <x v="2"/>
    <x v="17"/>
    <x v="0"/>
    <x v="11"/>
    <x v="1"/>
    <x v="3"/>
    <x v="1"/>
    <x v="1"/>
    <n v="47"/>
    <x v="2"/>
    <x v="5"/>
  </r>
  <r>
    <n v="2768"/>
    <x v="18"/>
    <x v="1"/>
    <x v="10"/>
    <x v="0"/>
    <n v="95"/>
    <s v="Iowa"/>
    <x v="2"/>
    <x v="14"/>
    <x v="1"/>
    <x v="9"/>
    <x v="1"/>
    <x v="1"/>
    <x v="1"/>
    <x v="1"/>
    <n v="31"/>
    <x v="1"/>
    <x v="5"/>
  </r>
  <r>
    <n v="2769"/>
    <x v="0"/>
    <x v="1"/>
    <x v="0"/>
    <x v="0"/>
    <n v="25"/>
    <s v="Kansas"/>
    <x v="2"/>
    <x v="19"/>
    <x v="1"/>
    <x v="22"/>
    <x v="1"/>
    <x v="4"/>
    <x v="1"/>
    <x v="1"/>
    <n v="28"/>
    <x v="3"/>
    <x v="4"/>
  </r>
  <r>
    <n v="2770"/>
    <x v="45"/>
    <x v="1"/>
    <x v="5"/>
    <x v="0"/>
    <n v="89"/>
    <s v="Oklahoma"/>
    <x v="0"/>
    <x v="12"/>
    <x v="3"/>
    <x v="21"/>
    <x v="1"/>
    <x v="3"/>
    <x v="1"/>
    <x v="1"/>
    <n v="13"/>
    <x v="1"/>
    <x v="1"/>
  </r>
  <r>
    <n v="2771"/>
    <x v="2"/>
    <x v="1"/>
    <x v="23"/>
    <x v="1"/>
    <n v="44"/>
    <s v="Nebraska"/>
    <x v="1"/>
    <x v="24"/>
    <x v="3"/>
    <x v="13"/>
    <x v="1"/>
    <x v="0"/>
    <x v="1"/>
    <x v="1"/>
    <n v="22"/>
    <x v="4"/>
    <x v="3"/>
  </r>
  <r>
    <n v="2772"/>
    <x v="44"/>
    <x v="1"/>
    <x v="14"/>
    <x v="2"/>
    <n v="52"/>
    <s v="Maryland"/>
    <x v="1"/>
    <x v="19"/>
    <x v="2"/>
    <x v="0"/>
    <x v="1"/>
    <x v="4"/>
    <x v="1"/>
    <x v="1"/>
    <n v="12"/>
    <x v="4"/>
    <x v="0"/>
  </r>
  <r>
    <n v="2773"/>
    <x v="20"/>
    <x v="1"/>
    <x v="21"/>
    <x v="3"/>
    <n v="94"/>
    <s v="Pennsylvania"/>
    <x v="0"/>
    <x v="24"/>
    <x v="1"/>
    <x v="1"/>
    <x v="1"/>
    <x v="5"/>
    <x v="1"/>
    <x v="1"/>
    <n v="10"/>
    <x v="4"/>
    <x v="6"/>
  </r>
  <r>
    <n v="2774"/>
    <x v="31"/>
    <x v="1"/>
    <x v="13"/>
    <x v="0"/>
    <n v="98"/>
    <s v="Arizona"/>
    <x v="1"/>
    <x v="1"/>
    <x v="1"/>
    <x v="12"/>
    <x v="1"/>
    <x v="0"/>
    <x v="1"/>
    <x v="1"/>
    <n v="45"/>
    <x v="4"/>
    <x v="3"/>
  </r>
  <r>
    <n v="2775"/>
    <x v="19"/>
    <x v="1"/>
    <x v="23"/>
    <x v="1"/>
    <n v="40"/>
    <s v="Oklahoma"/>
    <x v="0"/>
    <x v="22"/>
    <x v="3"/>
    <x v="7"/>
    <x v="1"/>
    <x v="3"/>
    <x v="1"/>
    <x v="1"/>
    <n v="42"/>
    <x v="2"/>
    <x v="3"/>
  </r>
  <r>
    <n v="2776"/>
    <x v="43"/>
    <x v="1"/>
    <x v="20"/>
    <x v="0"/>
    <n v="25"/>
    <s v="Montana"/>
    <x v="0"/>
    <x v="16"/>
    <x v="3"/>
    <x v="15"/>
    <x v="1"/>
    <x v="1"/>
    <x v="1"/>
    <x v="1"/>
    <n v="16"/>
    <x v="5"/>
    <x v="1"/>
  </r>
  <r>
    <n v="2777"/>
    <x v="5"/>
    <x v="1"/>
    <x v="18"/>
    <x v="3"/>
    <n v="62"/>
    <s v="Wyoming"/>
    <x v="0"/>
    <x v="14"/>
    <x v="3"/>
    <x v="3"/>
    <x v="1"/>
    <x v="1"/>
    <x v="1"/>
    <x v="1"/>
    <n v="6"/>
    <x v="4"/>
    <x v="2"/>
  </r>
  <r>
    <n v="2778"/>
    <x v="16"/>
    <x v="1"/>
    <x v="0"/>
    <x v="0"/>
    <n v="24"/>
    <s v="Idaho"/>
    <x v="2"/>
    <x v="23"/>
    <x v="3"/>
    <x v="6"/>
    <x v="1"/>
    <x v="3"/>
    <x v="1"/>
    <x v="1"/>
    <n v="28"/>
    <x v="2"/>
    <x v="6"/>
  </r>
  <r>
    <n v="2779"/>
    <x v="27"/>
    <x v="1"/>
    <x v="22"/>
    <x v="3"/>
    <n v="57"/>
    <s v="Pennsylvania"/>
    <x v="0"/>
    <x v="22"/>
    <x v="1"/>
    <x v="4"/>
    <x v="1"/>
    <x v="3"/>
    <x v="1"/>
    <x v="1"/>
    <n v="24"/>
    <x v="2"/>
    <x v="4"/>
  </r>
  <r>
    <n v="2780"/>
    <x v="12"/>
    <x v="1"/>
    <x v="12"/>
    <x v="3"/>
    <n v="66"/>
    <s v="Montana"/>
    <x v="0"/>
    <x v="24"/>
    <x v="0"/>
    <x v="24"/>
    <x v="1"/>
    <x v="0"/>
    <x v="1"/>
    <x v="1"/>
    <n v="14"/>
    <x v="2"/>
    <x v="0"/>
  </r>
  <r>
    <n v="2781"/>
    <x v="23"/>
    <x v="1"/>
    <x v="23"/>
    <x v="1"/>
    <n v="70"/>
    <s v="Ohio"/>
    <x v="2"/>
    <x v="4"/>
    <x v="0"/>
    <x v="7"/>
    <x v="1"/>
    <x v="2"/>
    <x v="1"/>
    <x v="1"/>
    <n v="29"/>
    <x v="3"/>
    <x v="0"/>
  </r>
  <r>
    <n v="2782"/>
    <x v="13"/>
    <x v="1"/>
    <x v="3"/>
    <x v="1"/>
    <n v="39"/>
    <s v="Mississippi"/>
    <x v="2"/>
    <x v="24"/>
    <x v="1"/>
    <x v="12"/>
    <x v="1"/>
    <x v="3"/>
    <x v="1"/>
    <x v="1"/>
    <n v="33"/>
    <x v="3"/>
    <x v="1"/>
  </r>
  <r>
    <n v="2783"/>
    <x v="38"/>
    <x v="1"/>
    <x v="24"/>
    <x v="3"/>
    <n v="34"/>
    <s v="Idaho"/>
    <x v="1"/>
    <x v="17"/>
    <x v="1"/>
    <x v="22"/>
    <x v="1"/>
    <x v="1"/>
    <x v="1"/>
    <x v="1"/>
    <n v="30"/>
    <x v="3"/>
    <x v="2"/>
  </r>
  <r>
    <n v="2784"/>
    <x v="1"/>
    <x v="1"/>
    <x v="11"/>
    <x v="0"/>
    <n v="38"/>
    <s v="Virginia"/>
    <x v="2"/>
    <x v="5"/>
    <x v="1"/>
    <x v="9"/>
    <x v="1"/>
    <x v="2"/>
    <x v="1"/>
    <x v="1"/>
    <n v="26"/>
    <x v="2"/>
    <x v="3"/>
  </r>
  <r>
    <n v="2785"/>
    <x v="23"/>
    <x v="1"/>
    <x v="11"/>
    <x v="0"/>
    <n v="70"/>
    <s v="Idaho"/>
    <x v="2"/>
    <x v="13"/>
    <x v="0"/>
    <x v="0"/>
    <x v="1"/>
    <x v="0"/>
    <x v="1"/>
    <x v="1"/>
    <n v="12"/>
    <x v="3"/>
    <x v="6"/>
  </r>
  <r>
    <n v="2786"/>
    <x v="10"/>
    <x v="1"/>
    <x v="0"/>
    <x v="0"/>
    <n v="80"/>
    <s v="Louisiana"/>
    <x v="1"/>
    <x v="14"/>
    <x v="2"/>
    <x v="3"/>
    <x v="1"/>
    <x v="2"/>
    <x v="1"/>
    <x v="1"/>
    <n v="13"/>
    <x v="4"/>
    <x v="5"/>
  </r>
  <r>
    <n v="2787"/>
    <x v="22"/>
    <x v="1"/>
    <x v="8"/>
    <x v="3"/>
    <n v="51"/>
    <s v="Colorado"/>
    <x v="2"/>
    <x v="10"/>
    <x v="1"/>
    <x v="22"/>
    <x v="1"/>
    <x v="2"/>
    <x v="1"/>
    <x v="1"/>
    <n v="41"/>
    <x v="5"/>
    <x v="6"/>
  </r>
  <r>
    <n v="2788"/>
    <x v="24"/>
    <x v="1"/>
    <x v="23"/>
    <x v="1"/>
    <n v="79"/>
    <s v="West Virginia"/>
    <x v="3"/>
    <x v="6"/>
    <x v="1"/>
    <x v="7"/>
    <x v="1"/>
    <x v="2"/>
    <x v="1"/>
    <x v="1"/>
    <n v="4"/>
    <x v="0"/>
    <x v="0"/>
  </r>
  <r>
    <n v="2789"/>
    <x v="19"/>
    <x v="1"/>
    <x v="23"/>
    <x v="1"/>
    <n v="92"/>
    <s v="Rhode Island"/>
    <x v="2"/>
    <x v="8"/>
    <x v="2"/>
    <x v="0"/>
    <x v="1"/>
    <x v="1"/>
    <x v="1"/>
    <x v="1"/>
    <n v="2"/>
    <x v="2"/>
    <x v="2"/>
  </r>
  <r>
    <n v="2790"/>
    <x v="48"/>
    <x v="1"/>
    <x v="1"/>
    <x v="0"/>
    <n v="85"/>
    <s v="North Carolina"/>
    <x v="0"/>
    <x v="20"/>
    <x v="3"/>
    <x v="16"/>
    <x v="1"/>
    <x v="0"/>
    <x v="1"/>
    <x v="1"/>
    <n v="28"/>
    <x v="2"/>
    <x v="4"/>
  </r>
  <r>
    <n v="2791"/>
    <x v="50"/>
    <x v="1"/>
    <x v="20"/>
    <x v="0"/>
    <n v="63"/>
    <s v="Maine"/>
    <x v="2"/>
    <x v="13"/>
    <x v="1"/>
    <x v="9"/>
    <x v="1"/>
    <x v="1"/>
    <x v="1"/>
    <x v="1"/>
    <n v="24"/>
    <x v="5"/>
    <x v="2"/>
  </r>
  <r>
    <n v="2792"/>
    <x v="49"/>
    <x v="1"/>
    <x v="24"/>
    <x v="3"/>
    <n v="60"/>
    <s v="Iowa"/>
    <x v="2"/>
    <x v="22"/>
    <x v="3"/>
    <x v="11"/>
    <x v="1"/>
    <x v="0"/>
    <x v="1"/>
    <x v="1"/>
    <n v="14"/>
    <x v="0"/>
    <x v="0"/>
  </r>
  <r>
    <n v="2793"/>
    <x v="22"/>
    <x v="1"/>
    <x v="6"/>
    <x v="0"/>
    <n v="44"/>
    <s v="Kentucky"/>
    <x v="0"/>
    <x v="10"/>
    <x v="0"/>
    <x v="4"/>
    <x v="1"/>
    <x v="0"/>
    <x v="1"/>
    <x v="1"/>
    <n v="11"/>
    <x v="2"/>
    <x v="1"/>
  </r>
  <r>
    <n v="2794"/>
    <x v="43"/>
    <x v="1"/>
    <x v="23"/>
    <x v="1"/>
    <n v="57"/>
    <s v="Massachusetts"/>
    <x v="2"/>
    <x v="5"/>
    <x v="1"/>
    <x v="0"/>
    <x v="1"/>
    <x v="3"/>
    <x v="1"/>
    <x v="1"/>
    <n v="27"/>
    <x v="5"/>
    <x v="4"/>
  </r>
  <r>
    <n v="2795"/>
    <x v="23"/>
    <x v="1"/>
    <x v="14"/>
    <x v="2"/>
    <n v="24"/>
    <s v="New York"/>
    <x v="2"/>
    <x v="9"/>
    <x v="3"/>
    <x v="13"/>
    <x v="1"/>
    <x v="3"/>
    <x v="1"/>
    <x v="1"/>
    <n v="7"/>
    <x v="1"/>
    <x v="0"/>
  </r>
  <r>
    <n v="2796"/>
    <x v="23"/>
    <x v="1"/>
    <x v="18"/>
    <x v="3"/>
    <n v="35"/>
    <s v="Nebraska"/>
    <x v="2"/>
    <x v="23"/>
    <x v="0"/>
    <x v="23"/>
    <x v="1"/>
    <x v="5"/>
    <x v="1"/>
    <x v="1"/>
    <n v="49"/>
    <x v="3"/>
    <x v="2"/>
  </r>
  <r>
    <n v="2797"/>
    <x v="0"/>
    <x v="1"/>
    <x v="14"/>
    <x v="2"/>
    <n v="73"/>
    <s v="Oklahoma"/>
    <x v="2"/>
    <x v="16"/>
    <x v="0"/>
    <x v="22"/>
    <x v="1"/>
    <x v="5"/>
    <x v="1"/>
    <x v="1"/>
    <n v="21"/>
    <x v="1"/>
    <x v="2"/>
  </r>
  <r>
    <n v="2798"/>
    <x v="6"/>
    <x v="1"/>
    <x v="16"/>
    <x v="3"/>
    <n v="42"/>
    <s v="Oklahoma"/>
    <x v="2"/>
    <x v="14"/>
    <x v="0"/>
    <x v="1"/>
    <x v="1"/>
    <x v="0"/>
    <x v="1"/>
    <x v="1"/>
    <n v="10"/>
    <x v="0"/>
    <x v="6"/>
  </r>
  <r>
    <n v="2799"/>
    <x v="16"/>
    <x v="1"/>
    <x v="15"/>
    <x v="0"/>
    <n v="20"/>
    <s v="Rhode Island"/>
    <x v="3"/>
    <x v="16"/>
    <x v="0"/>
    <x v="6"/>
    <x v="1"/>
    <x v="5"/>
    <x v="1"/>
    <x v="1"/>
    <n v="37"/>
    <x v="3"/>
    <x v="1"/>
  </r>
  <r>
    <n v="2800"/>
    <x v="51"/>
    <x v="1"/>
    <x v="17"/>
    <x v="0"/>
    <n v="89"/>
    <s v="Maine"/>
    <x v="0"/>
    <x v="6"/>
    <x v="1"/>
    <x v="20"/>
    <x v="1"/>
    <x v="1"/>
    <x v="1"/>
    <x v="1"/>
    <n v="9"/>
    <x v="4"/>
    <x v="6"/>
  </r>
  <r>
    <n v="2801"/>
    <x v="27"/>
    <x v="1"/>
    <x v="5"/>
    <x v="0"/>
    <n v="76"/>
    <s v="Arkansas"/>
    <x v="0"/>
    <x v="10"/>
    <x v="3"/>
    <x v="23"/>
    <x v="1"/>
    <x v="1"/>
    <x v="1"/>
    <x v="1"/>
    <n v="14"/>
    <x v="1"/>
    <x v="4"/>
  </r>
  <r>
    <n v="2802"/>
    <x v="14"/>
    <x v="1"/>
    <x v="5"/>
    <x v="0"/>
    <n v="56"/>
    <s v="New Mexico"/>
    <x v="2"/>
    <x v="21"/>
    <x v="0"/>
    <x v="5"/>
    <x v="1"/>
    <x v="0"/>
    <x v="1"/>
    <x v="1"/>
    <n v="30"/>
    <x v="3"/>
    <x v="2"/>
  </r>
  <r>
    <n v="2803"/>
    <x v="40"/>
    <x v="1"/>
    <x v="7"/>
    <x v="2"/>
    <n v="100"/>
    <s v="Hawaii"/>
    <x v="0"/>
    <x v="16"/>
    <x v="3"/>
    <x v="0"/>
    <x v="1"/>
    <x v="5"/>
    <x v="1"/>
    <x v="1"/>
    <n v="42"/>
    <x v="2"/>
    <x v="0"/>
  </r>
  <r>
    <n v="2804"/>
    <x v="5"/>
    <x v="1"/>
    <x v="17"/>
    <x v="0"/>
    <n v="44"/>
    <s v="Idaho"/>
    <x v="2"/>
    <x v="10"/>
    <x v="0"/>
    <x v="13"/>
    <x v="1"/>
    <x v="1"/>
    <x v="1"/>
    <x v="1"/>
    <n v="31"/>
    <x v="4"/>
    <x v="5"/>
  </r>
  <r>
    <n v="2805"/>
    <x v="13"/>
    <x v="1"/>
    <x v="15"/>
    <x v="0"/>
    <n v="76"/>
    <s v="South Carolina"/>
    <x v="2"/>
    <x v="17"/>
    <x v="1"/>
    <x v="11"/>
    <x v="1"/>
    <x v="3"/>
    <x v="1"/>
    <x v="1"/>
    <n v="48"/>
    <x v="4"/>
    <x v="6"/>
  </r>
  <r>
    <n v="2806"/>
    <x v="20"/>
    <x v="1"/>
    <x v="12"/>
    <x v="3"/>
    <n v="97"/>
    <s v="Nevada"/>
    <x v="1"/>
    <x v="13"/>
    <x v="3"/>
    <x v="24"/>
    <x v="1"/>
    <x v="3"/>
    <x v="1"/>
    <x v="1"/>
    <n v="48"/>
    <x v="1"/>
    <x v="3"/>
  </r>
  <r>
    <n v="2807"/>
    <x v="4"/>
    <x v="1"/>
    <x v="0"/>
    <x v="0"/>
    <n v="39"/>
    <s v="South Carolina"/>
    <x v="0"/>
    <x v="7"/>
    <x v="1"/>
    <x v="2"/>
    <x v="1"/>
    <x v="3"/>
    <x v="1"/>
    <x v="1"/>
    <n v="50"/>
    <x v="2"/>
    <x v="2"/>
  </r>
  <r>
    <n v="2808"/>
    <x v="19"/>
    <x v="1"/>
    <x v="15"/>
    <x v="0"/>
    <n v="100"/>
    <s v="Maryland"/>
    <x v="2"/>
    <x v="4"/>
    <x v="1"/>
    <x v="14"/>
    <x v="1"/>
    <x v="4"/>
    <x v="1"/>
    <x v="1"/>
    <n v="10"/>
    <x v="5"/>
    <x v="0"/>
  </r>
  <r>
    <n v="2809"/>
    <x v="34"/>
    <x v="1"/>
    <x v="11"/>
    <x v="0"/>
    <n v="62"/>
    <s v="Tennessee"/>
    <x v="2"/>
    <x v="19"/>
    <x v="1"/>
    <x v="20"/>
    <x v="1"/>
    <x v="1"/>
    <x v="1"/>
    <x v="1"/>
    <n v="45"/>
    <x v="3"/>
    <x v="6"/>
  </r>
  <r>
    <n v="2810"/>
    <x v="17"/>
    <x v="1"/>
    <x v="6"/>
    <x v="0"/>
    <n v="98"/>
    <s v="Arkansas"/>
    <x v="3"/>
    <x v="11"/>
    <x v="2"/>
    <x v="21"/>
    <x v="1"/>
    <x v="3"/>
    <x v="1"/>
    <x v="1"/>
    <n v="27"/>
    <x v="5"/>
    <x v="3"/>
  </r>
  <r>
    <n v="2811"/>
    <x v="7"/>
    <x v="1"/>
    <x v="2"/>
    <x v="0"/>
    <n v="31"/>
    <s v="Arizona"/>
    <x v="2"/>
    <x v="7"/>
    <x v="2"/>
    <x v="17"/>
    <x v="1"/>
    <x v="3"/>
    <x v="1"/>
    <x v="1"/>
    <n v="10"/>
    <x v="5"/>
    <x v="0"/>
  </r>
  <r>
    <n v="2812"/>
    <x v="28"/>
    <x v="1"/>
    <x v="14"/>
    <x v="2"/>
    <n v="89"/>
    <s v="Ohio"/>
    <x v="2"/>
    <x v="24"/>
    <x v="3"/>
    <x v="18"/>
    <x v="1"/>
    <x v="5"/>
    <x v="1"/>
    <x v="1"/>
    <n v="19"/>
    <x v="2"/>
    <x v="3"/>
  </r>
  <r>
    <n v="2813"/>
    <x v="17"/>
    <x v="1"/>
    <x v="15"/>
    <x v="0"/>
    <n v="91"/>
    <s v="North Dakota"/>
    <x v="3"/>
    <x v="23"/>
    <x v="3"/>
    <x v="22"/>
    <x v="1"/>
    <x v="5"/>
    <x v="1"/>
    <x v="1"/>
    <n v="1"/>
    <x v="2"/>
    <x v="6"/>
  </r>
  <r>
    <n v="2814"/>
    <x v="4"/>
    <x v="1"/>
    <x v="5"/>
    <x v="0"/>
    <n v="50"/>
    <s v="Vermont"/>
    <x v="1"/>
    <x v="1"/>
    <x v="2"/>
    <x v="13"/>
    <x v="1"/>
    <x v="4"/>
    <x v="1"/>
    <x v="1"/>
    <n v="39"/>
    <x v="5"/>
    <x v="3"/>
  </r>
  <r>
    <n v="2815"/>
    <x v="18"/>
    <x v="1"/>
    <x v="17"/>
    <x v="0"/>
    <n v="32"/>
    <s v="Minnesota"/>
    <x v="0"/>
    <x v="9"/>
    <x v="0"/>
    <x v="15"/>
    <x v="1"/>
    <x v="3"/>
    <x v="1"/>
    <x v="1"/>
    <n v="14"/>
    <x v="4"/>
    <x v="5"/>
  </r>
  <r>
    <n v="2816"/>
    <x v="23"/>
    <x v="1"/>
    <x v="0"/>
    <x v="0"/>
    <n v="67"/>
    <s v="Idaho"/>
    <x v="0"/>
    <x v="13"/>
    <x v="3"/>
    <x v="20"/>
    <x v="1"/>
    <x v="1"/>
    <x v="1"/>
    <x v="1"/>
    <n v="40"/>
    <x v="0"/>
    <x v="6"/>
  </r>
  <r>
    <n v="2817"/>
    <x v="49"/>
    <x v="1"/>
    <x v="11"/>
    <x v="0"/>
    <n v="28"/>
    <s v="Maryland"/>
    <x v="2"/>
    <x v="13"/>
    <x v="1"/>
    <x v="1"/>
    <x v="1"/>
    <x v="1"/>
    <x v="1"/>
    <x v="1"/>
    <n v="45"/>
    <x v="0"/>
    <x v="1"/>
  </r>
  <r>
    <n v="2818"/>
    <x v="15"/>
    <x v="1"/>
    <x v="21"/>
    <x v="3"/>
    <n v="65"/>
    <s v="South Carolina"/>
    <x v="3"/>
    <x v="22"/>
    <x v="0"/>
    <x v="23"/>
    <x v="1"/>
    <x v="3"/>
    <x v="1"/>
    <x v="1"/>
    <n v="6"/>
    <x v="0"/>
    <x v="1"/>
  </r>
  <r>
    <n v="2819"/>
    <x v="5"/>
    <x v="1"/>
    <x v="6"/>
    <x v="0"/>
    <n v="73"/>
    <s v="California"/>
    <x v="2"/>
    <x v="2"/>
    <x v="3"/>
    <x v="10"/>
    <x v="1"/>
    <x v="2"/>
    <x v="1"/>
    <x v="1"/>
    <n v="12"/>
    <x v="5"/>
    <x v="2"/>
  </r>
  <r>
    <n v="2820"/>
    <x v="29"/>
    <x v="1"/>
    <x v="5"/>
    <x v="0"/>
    <n v="27"/>
    <s v="Georgia"/>
    <x v="0"/>
    <x v="12"/>
    <x v="1"/>
    <x v="21"/>
    <x v="1"/>
    <x v="1"/>
    <x v="1"/>
    <x v="1"/>
    <n v="19"/>
    <x v="1"/>
    <x v="5"/>
  </r>
  <r>
    <n v="2821"/>
    <x v="8"/>
    <x v="1"/>
    <x v="21"/>
    <x v="3"/>
    <n v="89"/>
    <s v="Vermont"/>
    <x v="0"/>
    <x v="22"/>
    <x v="2"/>
    <x v="20"/>
    <x v="1"/>
    <x v="1"/>
    <x v="1"/>
    <x v="1"/>
    <n v="5"/>
    <x v="1"/>
    <x v="4"/>
  </r>
  <r>
    <n v="2822"/>
    <x v="25"/>
    <x v="1"/>
    <x v="9"/>
    <x v="1"/>
    <n v="72"/>
    <s v="Georgia"/>
    <x v="0"/>
    <x v="8"/>
    <x v="2"/>
    <x v="9"/>
    <x v="1"/>
    <x v="3"/>
    <x v="1"/>
    <x v="1"/>
    <n v="37"/>
    <x v="0"/>
    <x v="5"/>
  </r>
  <r>
    <n v="2823"/>
    <x v="12"/>
    <x v="1"/>
    <x v="11"/>
    <x v="0"/>
    <n v="37"/>
    <s v="New Jersey"/>
    <x v="1"/>
    <x v="18"/>
    <x v="3"/>
    <x v="7"/>
    <x v="1"/>
    <x v="3"/>
    <x v="1"/>
    <x v="1"/>
    <n v="33"/>
    <x v="3"/>
    <x v="3"/>
  </r>
  <r>
    <n v="2824"/>
    <x v="8"/>
    <x v="1"/>
    <x v="10"/>
    <x v="0"/>
    <n v="63"/>
    <s v="Utah"/>
    <x v="2"/>
    <x v="8"/>
    <x v="2"/>
    <x v="9"/>
    <x v="1"/>
    <x v="3"/>
    <x v="1"/>
    <x v="1"/>
    <n v="47"/>
    <x v="5"/>
    <x v="4"/>
  </r>
  <r>
    <n v="2825"/>
    <x v="31"/>
    <x v="1"/>
    <x v="19"/>
    <x v="3"/>
    <n v="90"/>
    <s v="Utah"/>
    <x v="2"/>
    <x v="7"/>
    <x v="3"/>
    <x v="17"/>
    <x v="1"/>
    <x v="1"/>
    <x v="1"/>
    <x v="1"/>
    <n v="49"/>
    <x v="5"/>
    <x v="3"/>
  </r>
  <r>
    <n v="2826"/>
    <x v="28"/>
    <x v="1"/>
    <x v="8"/>
    <x v="3"/>
    <n v="62"/>
    <s v="North Carolina"/>
    <x v="2"/>
    <x v="22"/>
    <x v="0"/>
    <x v="24"/>
    <x v="1"/>
    <x v="4"/>
    <x v="1"/>
    <x v="1"/>
    <n v="28"/>
    <x v="4"/>
    <x v="2"/>
  </r>
  <r>
    <n v="2827"/>
    <x v="45"/>
    <x v="1"/>
    <x v="8"/>
    <x v="3"/>
    <n v="43"/>
    <s v="Florida"/>
    <x v="0"/>
    <x v="18"/>
    <x v="3"/>
    <x v="15"/>
    <x v="1"/>
    <x v="0"/>
    <x v="1"/>
    <x v="1"/>
    <n v="23"/>
    <x v="0"/>
    <x v="2"/>
  </r>
  <r>
    <n v="2828"/>
    <x v="30"/>
    <x v="1"/>
    <x v="0"/>
    <x v="0"/>
    <n v="96"/>
    <s v="Wisconsin"/>
    <x v="2"/>
    <x v="23"/>
    <x v="3"/>
    <x v="0"/>
    <x v="1"/>
    <x v="2"/>
    <x v="1"/>
    <x v="1"/>
    <n v="11"/>
    <x v="4"/>
    <x v="4"/>
  </r>
  <r>
    <n v="2829"/>
    <x v="15"/>
    <x v="1"/>
    <x v="18"/>
    <x v="3"/>
    <n v="83"/>
    <s v="Tennessee"/>
    <x v="0"/>
    <x v="12"/>
    <x v="3"/>
    <x v="5"/>
    <x v="1"/>
    <x v="3"/>
    <x v="1"/>
    <x v="1"/>
    <n v="33"/>
    <x v="3"/>
    <x v="3"/>
  </r>
  <r>
    <n v="2830"/>
    <x v="19"/>
    <x v="1"/>
    <x v="16"/>
    <x v="3"/>
    <n v="67"/>
    <s v="Arizona"/>
    <x v="3"/>
    <x v="11"/>
    <x v="3"/>
    <x v="23"/>
    <x v="1"/>
    <x v="2"/>
    <x v="1"/>
    <x v="1"/>
    <n v="47"/>
    <x v="1"/>
    <x v="1"/>
  </r>
  <r>
    <n v="2831"/>
    <x v="6"/>
    <x v="1"/>
    <x v="11"/>
    <x v="0"/>
    <n v="90"/>
    <s v="Oregon"/>
    <x v="0"/>
    <x v="17"/>
    <x v="1"/>
    <x v="3"/>
    <x v="1"/>
    <x v="5"/>
    <x v="1"/>
    <x v="1"/>
    <n v="13"/>
    <x v="0"/>
    <x v="6"/>
  </r>
  <r>
    <n v="2832"/>
    <x v="50"/>
    <x v="1"/>
    <x v="15"/>
    <x v="0"/>
    <n v="53"/>
    <s v="Virginia"/>
    <x v="0"/>
    <x v="6"/>
    <x v="0"/>
    <x v="16"/>
    <x v="1"/>
    <x v="0"/>
    <x v="1"/>
    <x v="1"/>
    <n v="4"/>
    <x v="2"/>
    <x v="1"/>
  </r>
  <r>
    <n v="2833"/>
    <x v="26"/>
    <x v="1"/>
    <x v="18"/>
    <x v="3"/>
    <n v="37"/>
    <s v="Maryland"/>
    <x v="2"/>
    <x v="23"/>
    <x v="2"/>
    <x v="12"/>
    <x v="1"/>
    <x v="3"/>
    <x v="1"/>
    <x v="1"/>
    <n v="40"/>
    <x v="3"/>
    <x v="3"/>
  </r>
  <r>
    <n v="2834"/>
    <x v="49"/>
    <x v="1"/>
    <x v="2"/>
    <x v="0"/>
    <n v="56"/>
    <s v="Arkansas"/>
    <x v="2"/>
    <x v="11"/>
    <x v="3"/>
    <x v="13"/>
    <x v="1"/>
    <x v="1"/>
    <x v="1"/>
    <x v="1"/>
    <n v="19"/>
    <x v="1"/>
    <x v="5"/>
  </r>
  <r>
    <n v="2835"/>
    <x v="31"/>
    <x v="1"/>
    <x v="14"/>
    <x v="2"/>
    <n v="43"/>
    <s v="Texas"/>
    <x v="2"/>
    <x v="21"/>
    <x v="3"/>
    <x v="3"/>
    <x v="1"/>
    <x v="4"/>
    <x v="1"/>
    <x v="1"/>
    <n v="17"/>
    <x v="2"/>
    <x v="1"/>
  </r>
  <r>
    <n v="2836"/>
    <x v="23"/>
    <x v="1"/>
    <x v="17"/>
    <x v="0"/>
    <n v="84"/>
    <s v="Vermont"/>
    <x v="1"/>
    <x v="6"/>
    <x v="0"/>
    <x v="8"/>
    <x v="1"/>
    <x v="1"/>
    <x v="1"/>
    <x v="1"/>
    <n v="7"/>
    <x v="0"/>
    <x v="2"/>
  </r>
  <r>
    <n v="2837"/>
    <x v="47"/>
    <x v="1"/>
    <x v="13"/>
    <x v="0"/>
    <n v="50"/>
    <s v="Wyoming"/>
    <x v="2"/>
    <x v="4"/>
    <x v="0"/>
    <x v="16"/>
    <x v="1"/>
    <x v="4"/>
    <x v="1"/>
    <x v="1"/>
    <n v="21"/>
    <x v="1"/>
    <x v="4"/>
  </r>
  <r>
    <n v="2838"/>
    <x v="13"/>
    <x v="1"/>
    <x v="9"/>
    <x v="1"/>
    <n v="88"/>
    <s v="Alabama"/>
    <x v="2"/>
    <x v="18"/>
    <x v="2"/>
    <x v="9"/>
    <x v="1"/>
    <x v="0"/>
    <x v="1"/>
    <x v="1"/>
    <n v="44"/>
    <x v="3"/>
    <x v="1"/>
  </r>
  <r>
    <n v="2839"/>
    <x v="47"/>
    <x v="1"/>
    <x v="14"/>
    <x v="2"/>
    <n v="50"/>
    <s v="Maine"/>
    <x v="2"/>
    <x v="24"/>
    <x v="3"/>
    <x v="18"/>
    <x v="1"/>
    <x v="1"/>
    <x v="1"/>
    <x v="1"/>
    <n v="2"/>
    <x v="4"/>
    <x v="1"/>
  </r>
  <r>
    <n v="2840"/>
    <x v="27"/>
    <x v="1"/>
    <x v="18"/>
    <x v="3"/>
    <n v="80"/>
    <s v="South Dakota"/>
    <x v="0"/>
    <x v="11"/>
    <x v="2"/>
    <x v="11"/>
    <x v="1"/>
    <x v="5"/>
    <x v="1"/>
    <x v="1"/>
    <n v="30"/>
    <x v="4"/>
    <x v="5"/>
  </r>
  <r>
    <n v="2841"/>
    <x v="37"/>
    <x v="1"/>
    <x v="17"/>
    <x v="0"/>
    <n v="47"/>
    <s v="West Virginia"/>
    <x v="0"/>
    <x v="6"/>
    <x v="1"/>
    <x v="1"/>
    <x v="1"/>
    <x v="5"/>
    <x v="1"/>
    <x v="1"/>
    <n v="41"/>
    <x v="1"/>
    <x v="2"/>
  </r>
  <r>
    <n v="2842"/>
    <x v="1"/>
    <x v="1"/>
    <x v="10"/>
    <x v="0"/>
    <n v="33"/>
    <s v="Ohio"/>
    <x v="3"/>
    <x v="23"/>
    <x v="0"/>
    <x v="21"/>
    <x v="1"/>
    <x v="4"/>
    <x v="1"/>
    <x v="1"/>
    <n v="31"/>
    <x v="1"/>
    <x v="1"/>
  </r>
  <r>
    <n v="2843"/>
    <x v="48"/>
    <x v="1"/>
    <x v="7"/>
    <x v="2"/>
    <n v="100"/>
    <s v="Arizona"/>
    <x v="0"/>
    <x v="14"/>
    <x v="3"/>
    <x v="24"/>
    <x v="1"/>
    <x v="3"/>
    <x v="1"/>
    <x v="1"/>
    <n v="48"/>
    <x v="5"/>
    <x v="3"/>
  </r>
  <r>
    <n v="2844"/>
    <x v="47"/>
    <x v="1"/>
    <x v="1"/>
    <x v="0"/>
    <n v="26"/>
    <s v="Ohio"/>
    <x v="2"/>
    <x v="3"/>
    <x v="2"/>
    <x v="15"/>
    <x v="1"/>
    <x v="5"/>
    <x v="1"/>
    <x v="1"/>
    <n v="41"/>
    <x v="0"/>
    <x v="1"/>
  </r>
  <r>
    <n v="2845"/>
    <x v="45"/>
    <x v="1"/>
    <x v="19"/>
    <x v="3"/>
    <n v="79"/>
    <s v="New Mexico"/>
    <x v="2"/>
    <x v="21"/>
    <x v="2"/>
    <x v="14"/>
    <x v="1"/>
    <x v="3"/>
    <x v="1"/>
    <x v="1"/>
    <n v="42"/>
    <x v="0"/>
    <x v="2"/>
  </r>
  <r>
    <n v="2846"/>
    <x v="8"/>
    <x v="1"/>
    <x v="21"/>
    <x v="3"/>
    <n v="77"/>
    <s v="South Dakota"/>
    <x v="0"/>
    <x v="12"/>
    <x v="2"/>
    <x v="7"/>
    <x v="1"/>
    <x v="0"/>
    <x v="1"/>
    <x v="1"/>
    <n v="39"/>
    <x v="5"/>
    <x v="6"/>
  </r>
  <r>
    <n v="2847"/>
    <x v="2"/>
    <x v="1"/>
    <x v="20"/>
    <x v="0"/>
    <n v="36"/>
    <s v="Oklahoma"/>
    <x v="3"/>
    <x v="13"/>
    <x v="3"/>
    <x v="11"/>
    <x v="1"/>
    <x v="2"/>
    <x v="1"/>
    <x v="1"/>
    <n v="15"/>
    <x v="3"/>
    <x v="4"/>
  </r>
  <r>
    <n v="2848"/>
    <x v="33"/>
    <x v="1"/>
    <x v="16"/>
    <x v="3"/>
    <n v="21"/>
    <s v="Connecticut"/>
    <x v="0"/>
    <x v="4"/>
    <x v="0"/>
    <x v="11"/>
    <x v="1"/>
    <x v="1"/>
    <x v="1"/>
    <x v="1"/>
    <n v="3"/>
    <x v="3"/>
    <x v="6"/>
  </r>
  <r>
    <n v="2849"/>
    <x v="23"/>
    <x v="1"/>
    <x v="23"/>
    <x v="1"/>
    <n v="72"/>
    <s v="Wisconsin"/>
    <x v="0"/>
    <x v="0"/>
    <x v="3"/>
    <x v="8"/>
    <x v="1"/>
    <x v="5"/>
    <x v="1"/>
    <x v="1"/>
    <n v="28"/>
    <x v="4"/>
    <x v="3"/>
  </r>
  <r>
    <n v="2850"/>
    <x v="19"/>
    <x v="1"/>
    <x v="7"/>
    <x v="2"/>
    <n v="25"/>
    <s v="New Hampshire"/>
    <x v="2"/>
    <x v="9"/>
    <x v="1"/>
    <x v="7"/>
    <x v="1"/>
    <x v="0"/>
    <x v="1"/>
    <x v="1"/>
    <n v="27"/>
    <x v="3"/>
    <x v="4"/>
  </r>
  <r>
    <n v="2851"/>
    <x v="9"/>
    <x v="1"/>
    <x v="1"/>
    <x v="0"/>
    <n v="79"/>
    <s v="Nebraska"/>
    <x v="2"/>
    <x v="5"/>
    <x v="1"/>
    <x v="21"/>
    <x v="1"/>
    <x v="5"/>
    <x v="1"/>
    <x v="1"/>
    <n v="36"/>
    <x v="5"/>
    <x v="2"/>
  </r>
  <r>
    <n v="2852"/>
    <x v="44"/>
    <x v="1"/>
    <x v="0"/>
    <x v="0"/>
    <n v="73"/>
    <s v="Nevada"/>
    <x v="0"/>
    <x v="11"/>
    <x v="2"/>
    <x v="21"/>
    <x v="1"/>
    <x v="5"/>
    <x v="1"/>
    <x v="1"/>
    <n v="42"/>
    <x v="5"/>
    <x v="5"/>
  </r>
  <r>
    <n v="2853"/>
    <x v="37"/>
    <x v="1"/>
    <x v="22"/>
    <x v="3"/>
    <n v="71"/>
    <s v="New York"/>
    <x v="2"/>
    <x v="23"/>
    <x v="1"/>
    <x v="21"/>
    <x v="1"/>
    <x v="5"/>
    <x v="1"/>
    <x v="1"/>
    <n v="30"/>
    <x v="0"/>
    <x v="1"/>
  </r>
  <r>
    <n v="2854"/>
    <x v="43"/>
    <x v="1"/>
    <x v="19"/>
    <x v="3"/>
    <n v="48"/>
    <s v="Pennsylvania"/>
    <x v="2"/>
    <x v="23"/>
    <x v="0"/>
    <x v="4"/>
    <x v="1"/>
    <x v="2"/>
    <x v="1"/>
    <x v="1"/>
    <n v="9"/>
    <x v="3"/>
    <x v="1"/>
  </r>
  <r>
    <n v="2855"/>
    <x v="24"/>
    <x v="1"/>
    <x v="3"/>
    <x v="1"/>
    <n v="28"/>
    <s v="Delaware"/>
    <x v="2"/>
    <x v="19"/>
    <x v="3"/>
    <x v="2"/>
    <x v="1"/>
    <x v="5"/>
    <x v="1"/>
    <x v="1"/>
    <n v="25"/>
    <x v="0"/>
    <x v="5"/>
  </r>
  <r>
    <n v="2856"/>
    <x v="26"/>
    <x v="1"/>
    <x v="23"/>
    <x v="1"/>
    <n v="95"/>
    <s v="Mississippi"/>
    <x v="1"/>
    <x v="1"/>
    <x v="0"/>
    <x v="22"/>
    <x v="1"/>
    <x v="4"/>
    <x v="1"/>
    <x v="1"/>
    <n v="33"/>
    <x v="3"/>
    <x v="3"/>
  </r>
  <r>
    <n v="2857"/>
    <x v="13"/>
    <x v="1"/>
    <x v="14"/>
    <x v="2"/>
    <n v="48"/>
    <s v="Iowa"/>
    <x v="2"/>
    <x v="21"/>
    <x v="0"/>
    <x v="1"/>
    <x v="1"/>
    <x v="4"/>
    <x v="1"/>
    <x v="1"/>
    <n v="31"/>
    <x v="2"/>
    <x v="5"/>
  </r>
  <r>
    <n v="2858"/>
    <x v="42"/>
    <x v="1"/>
    <x v="10"/>
    <x v="0"/>
    <n v="93"/>
    <s v="Utah"/>
    <x v="1"/>
    <x v="1"/>
    <x v="1"/>
    <x v="22"/>
    <x v="1"/>
    <x v="2"/>
    <x v="1"/>
    <x v="1"/>
    <n v="35"/>
    <x v="5"/>
    <x v="5"/>
  </r>
  <r>
    <n v="2859"/>
    <x v="50"/>
    <x v="1"/>
    <x v="2"/>
    <x v="0"/>
    <n v="87"/>
    <s v="Maryland"/>
    <x v="0"/>
    <x v="11"/>
    <x v="2"/>
    <x v="22"/>
    <x v="1"/>
    <x v="4"/>
    <x v="1"/>
    <x v="1"/>
    <n v="46"/>
    <x v="4"/>
    <x v="5"/>
  </r>
  <r>
    <n v="2860"/>
    <x v="18"/>
    <x v="1"/>
    <x v="6"/>
    <x v="0"/>
    <n v="32"/>
    <s v="Utah"/>
    <x v="0"/>
    <x v="22"/>
    <x v="3"/>
    <x v="23"/>
    <x v="1"/>
    <x v="0"/>
    <x v="1"/>
    <x v="1"/>
    <n v="29"/>
    <x v="4"/>
    <x v="2"/>
  </r>
  <r>
    <n v="2861"/>
    <x v="48"/>
    <x v="1"/>
    <x v="5"/>
    <x v="0"/>
    <n v="38"/>
    <s v="Rhode Island"/>
    <x v="2"/>
    <x v="9"/>
    <x v="1"/>
    <x v="3"/>
    <x v="1"/>
    <x v="2"/>
    <x v="1"/>
    <x v="1"/>
    <n v="49"/>
    <x v="4"/>
    <x v="1"/>
  </r>
  <r>
    <n v="2862"/>
    <x v="17"/>
    <x v="1"/>
    <x v="7"/>
    <x v="2"/>
    <n v="54"/>
    <s v="Maryland"/>
    <x v="2"/>
    <x v="11"/>
    <x v="3"/>
    <x v="23"/>
    <x v="1"/>
    <x v="1"/>
    <x v="1"/>
    <x v="1"/>
    <n v="27"/>
    <x v="2"/>
    <x v="5"/>
  </r>
  <r>
    <n v="2863"/>
    <x v="33"/>
    <x v="1"/>
    <x v="7"/>
    <x v="2"/>
    <n v="75"/>
    <s v="Hawaii"/>
    <x v="1"/>
    <x v="10"/>
    <x v="2"/>
    <x v="10"/>
    <x v="1"/>
    <x v="5"/>
    <x v="1"/>
    <x v="1"/>
    <n v="5"/>
    <x v="4"/>
    <x v="6"/>
  </r>
  <r>
    <n v="2864"/>
    <x v="43"/>
    <x v="1"/>
    <x v="17"/>
    <x v="0"/>
    <n v="56"/>
    <s v="Connecticut"/>
    <x v="2"/>
    <x v="22"/>
    <x v="3"/>
    <x v="20"/>
    <x v="1"/>
    <x v="4"/>
    <x v="1"/>
    <x v="1"/>
    <n v="18"/>
    <x v="0"/>
    <x v="5"/>
  </r>
  <r>
    <n v="2865"/>
    <x v="44"/>
    <x v="1"/>
    <x v="1"/>
    <x v="0"/>
    <n v="43"/>
    <s v="Illinois"/>
    <x v="1"/>
    <x v="1"/>
    <x v="3"/>
    <x v="15"/>
    <x v="1"/>
    <x v="5"/>
    <x v="1"/>
    <x v="1"/>
    <n v="31"/>
    <x v="0"/>
    <x v="1"/>
  </r>
  <r>
    <n v="2866"/>
    <x v="48"/>
    <x v="1"/>
    <x v="11"/>
    <x v="0"/>
    <n v="97"/>
    <s v="California"/>
    <x v="2"/>
    <x v="5"/>
    <x v="3"/>
    <x v="18"/>
    <x v="1"/>
    <x v="1"/>
    <x v="1"/>
    <x v="1"/>
    <n v="27"/>
    <x v="1"/>
    <x v="0"/>
  </r>
  <r>
    <n v="2867"/>
    <x v="22"/>
    <x v="1"/>
    <x v="0"/>
    <x v="0"/>
    <n v="75"/>
    <s v="Connecticut"/>
    <x v="1"/>
    <x v="10"/>
    <x v="2"/>
    <x v="0"/>
    <x v="1"/>
    <x v="1"/>
    <x v="1"/>
    <x v="1"/>
    <n v="19"/>
    <x v="1"/>
    <x v="2"/>
  </r>
  <r>
    <n v="2868"/>
    <x v="3"/>
    <x v="1"/>
    <x v="4"/>
    <x v="1"/>
    <n v="55"/>
    <s v="Colorado"/>
    <x v="0"/>
    <x v="3"/>
    <x v="2"/>
    <x v="8"/>
    <x v="1"/>
    <x v="2"/>
    <x v="1"/>
    <x v="1"/>
    <n v="33"/>
    <x v="1"/>
    <x v="0"/>
  </r>
  <r>
    <n v="2869"/>
    <x v="4"/>
    <x v="1"/>
    <x v="21"/>
    <x v="3"/>
    <n v="49"/>
    <s v="Colorado"/>
    <x v="2"/>
    <x v="13"/>
    <x v="0"/>
    <x v="5"/>
    <x v="1"/>
    <x v="2"/>
    <x v="1"/>
    <x v="1"/>
    <n v="42"/>
    <x v="3"/>
    <x v="6"/>
  </r>
  <r>
    <n v="2870"/>
    <x v="9"/>
    <x v="1"/>
    <x v="20"/>
    <x v="0"/>
    <n v="58"/>
    <s v="Georgia"/>
    <x v="2"/>
    <x v="3"/>
    <x v="2"/>
    <x v="19"/>
    <x v="1"/>
    <x v="3"/>
    <x v="1"/>
    <x v="1"/>
    <n v="16"/>
    <x v="4"/>
    <x v="1"/>
  </r>
  <r>
    <n v="2871"/>
    <x v="36"/>
    <x v="1"/>
    <x v="16"/>
    <x v="3"/>
    <n v="34"/>
    <s v="North Dakota"/>
    <x v="2"/>
    <x v="24"/>
    <x v="0"/>
    <x v="6"/>
    <x v="1"/>
    <x v="1"/>
    <x v="1"/>
    <x v="1"/>
    <n v="49"/>
    <x v="5"/>
    <x v="6"/>
  </r>
  <r>
    <n v="2872"/>
    <x v="5"/>
    <x v="1"/>
    <x v="6"/>
    <x v="0"/>
    <n v="43"/>
    <s v="Idaho"/>
    <x v="1"/>
    <x v="13"/>
    <x v="2"/>
    <x v="2"/>
    <x v="1"/>
    <x v="4"/>
    <x v="1"/>
    <x v="1"/>
    <n v="40"/>
    <x v="0"/>
    <x v="4"/>
  </r>
  <r>
    <n v="2873"/>
    <x v="6"/>
    <x v="1"/>
    <x v="16"/>
    <x v="3"/>
    <n v="48"/>
    <s v="Connecticut"/>
    <x v="0"/>
    <x v="8"/>
    <x v="3"/>
    <x v="5"/>
    <x v="1"/>
    <x v="2"/>
    <x v="1"/>
    <x v="1"/>
    <n v="5"/>
    <x v="1"/>
    <x v="2"/>
  </r>
  <r>
    <n v="2874"/>
    <x v="42"/>
    <x v="1"/>
    <x v="1"/>
    <x v="0"/>
    <n v="40"/>
    <s v="Montana"/>
    <x v="2"/>
    <x v="11"/>
    <x v="1"/>
    <x v="5"/>
    <x v="1"/>
    <x v="1"/>
    <x v="1"/>
    <x v="1"/>
    <n v="8"/>
    <x v="4"/>
    <x v="5"/>
  </r>
  <r>
    <n v="2875"/>
    <x v="24"/>
    <x v="1"/>
    <x v="5"/>
    <x v="0"/>
    <n v="29"/>
    <s v="Colorado"/>
    <x v="0"/>
    <x v="5"/>
    <x v="2"/>
    <x v="0"/>
    <x v="1"/>
    <x v="3"/>
    <x v="1"/>
    <x v="1"/>
    <n v="2"/>
    <x v="5"/>
    <x v="2"/>
  </r>
  <r>
    <n v="2876"/>
    <x v="41"/>
    <x v="1"/>
    <x v="13"/>
    <x v="0"/>
    <n v="81"/>
    <s v="Kentucky"/>
    <x v="2"/>
    <x v="6"/>
    <x v="3"/>
    <x v="5"/>
    <x v="1"/>
    <x v="1"/>
    <x v="1"/>
    <x v="1"/>
    <n v="14"/>
    <x v="5"/>
    <x v="1"/>
  </r>
  <r>
    <n v="2877"/>
    <x v="13"/>
    <x v="1"/>
    <x v="15"/>
    <x v="0"/>
    <n v="84"/>
    <s v="New Mexico"/>
    <x v="2"/>
    <x v="4"/>
    <x v="1"/>
    <x v="23"/>
    <x v="1"/>
    <x v="4"/>
    <x v="1"/>
    <x v="1"/>
    <n v="5"/>
    <x v="4"/>
    <x v="0"/>
  </r>
  <r>
    <n v="2878"/>
    <x v="45"/>
    <x v="1"/>
    <x v="20"/>
    <x v="0"/>
    <n v="46"/>
    <s v="New Jersey"/>
    <x v="2"/>
    <x v="5"/>
    <x v="2"/>
    <x v="15"/>
    <x v="1"/>
    <x v="3"/>
    <x v="1"/>
    <x v="1"/>
    <n v="34"/>
    <x v="0"/>
    <x v="5"/>
  </r>
  <r>
    <n v="2879"/>
    <x v="6"/>
    <x v="1"/>
    <x v="10"/>
    <x v="0"/>
    <n v="86"/>
    <s v="California"/>
    <x v="0"/>
    <x v="2"/>
    <x v="2"/>
    <x v="24"/>
    <x v="1"/>
    <x v="2"/>
    <x v="1"/>
    <x v="1"/>
    <n v="13"/>
    <x v="4"/>
    <x v="2"/>
  </r>
  <r>
    <n v="2880"/>
    <x v="46"/>
    <x v="1"/>
    <x v="0"/>
    <x v="0"/>
    <n v="57"/>
    <s v="North Dakota"/>
    <x v="3"/>
    <x v="2"/>
    <x v="0"/>
    <x v="8"/>
    <x v="1"/>
    <x v="1"/>
    <x v="1"/>
    <x v="1"/>
    <n v="31"/>
    <x v="0"/>
    <x v="2"/>
  </r>
  <r>
    <n v="2881"/>
    <x v="1"/>
    <x v="1"/>
    <x v="11"/>
    <x v="0"/>
    <n v="61"/>
    <s v="Florida"/>
    <x v="0"/>
    <x v="19"/>
    <x v="0"/>
    <x v="6"/>
    <x v="1"/>
    <x v="5"/>
    <x v="1"/>
    <x v="1"/>
    <n v="43"/>
    <x v="3"/>
    <x v="3"/>
  </r>
  <r>
    <n v="2882"/>
    <x v="21"/>
    <x v="1"/>
    <x v="21"/>
    <x v="3"/>
    <n v="90"/>
    <s v="Texas"/>
    <x v="2"/>
    <x v="17"/>
    <x v="0"/>
    <x v="19"/>
    <x v="1"/>
    <x v="1"/>
    <x v="1"/>
    <x v="1"/>
    <n v="6"/>
    <x v="4"/>
    <x v="2"/>
  </r>
  <r>
    <n v="2883"/>
    <x v="35"/>
    <x v="1"/>
    <x v="0"/>
    <x v="0"/>
    <n v="51"/>
    <s v="Oklahoma"/>
    <x v="0"/>
    <x v="9"/>
    <x v="0"/>
    <x v="5"/>
    <x v="1"/>
    <x v="5"/>
    <x v="1"/>
    <x v="1"/>
    <n v="23"/>
    <x v="2"/>
    <x v="4"/>
  </r>
  <r>
    <n v="2884"/>
    <x v="40"/>
    <x v="1"/>
    <x v="20"/>
    <x v="0"/>
    <n v="48"/>
    <s v="Rhode Island"/>
    <x v="3"/>
    <x v="5"/>
    <x v="1"/>
    <x v="4"/>
    <x v="1"/>
    <x v="3"/>
    <x v="1"/>
    <x v="1"/>
    <n v="10"/>
    <x v="3"/>
    <x v="1"/>
  </r>
  <r>
    <n v="2885"/>
    <x v="0"/>
    <x v="1"/>
    <x v="23"/>
    <x v="1"/>
    <n v="50"/>
    <s v="Arkansas"/>
    <x v="2"/>
    <x v="7"/>
    <x v="2"/>
    <x v="23"/>
    <x v="1"/>
    <x v="4"/>
    <x v="1"/>
    <x v="1"/>
    <n v="47"/>
    <x v="2"/>
    <x v="6"/>
  </r>
  <r>
    <n v="2886"/>
    <x v="26"/>
    <x v="1"/>
    <x v="21"/>
    <x v="3"/>
    <n v="82"/>
    <s v="Nevada"/>
    <x v="2"/>
    <x v="22"/>
    <x v="2"/>
    <x v="1"/>
    <x v="1"/>
    <x v="2"/>
    <x v="1"/>
    <x v="1"/>
    <n v="14"/>
    <x v="2"/>
    <x v="4"/>
  </r>
  <r>
    <n v="2887"/>
    <x v="32"/>
    <x v="1"/>
    <x v="19"/>
    <x v="3"/>
    <n v="33"/>
    <s v="Utah"/>
    <x v="0"/>
    <x v="24"/>
    <x v="1"/>
    <x v="19"/>
    <x v="1"/>
    <x v="1"/>
    <x v="1"/>
    <x v="1"/>
    <n v="29"/>
    <x v="3"/>
    <x v="1"/>
  </r>
  <r>
    <n v="2888"/>
    <x v="51"/>
    <x v="1"/>
    <x v="3"/>
    <x v="1"/>
    <n v="28"/>
    <s v="Kentucky"/>
    <x v="0"/>
    <x v="24"/>
    <x v="0"/>
    <x v="11"/>
    <x v="1"/>
    <x v="0"/>
    <x v="1"/>
    <x v="1"/>
    <n v="12"/>
    <x v="1"/>
    <x v="4"/>
  </r>
  <r>
    <n v="2889"/>
    <x v="27"/>
    <x v="1"/>
    <x v="15"/>
    <x v="0"/>
    <n v="42"/>
    <s v="Wisconsin"/>
    <x v="0"/>
    <x v="14"/>
    <x v="1"/>
    <x v="16"/>
    <x v="1"/>
    <x v="4"/>
    <x v="1"/>
    <x v="1"/>
    <n v="25"/>
    <x v="5"/>
    <x v="3"/>
  </r>
  <r>
    <n v="2890"/>
    <x v="14"/>
    <x v="1"/>
    <x v="12"/>
    <x v="3"/>
    <n v="43"/>
    <s v="Minnesota"/>
    <x v="2"/>
    <x v="4"/>
    <x v="3"/>
    <x v="13"/>
    <x v="1"/>
    <x v="5"/>
    <x v="1"/>
    <x v="1"/>
    <n v="21"/>
    <x v="0"/>
    <x v="2"/>
  </r>
  <r>
    <n v="2891"/>
    <x v="31"/>
    <x v="1"/>
    <x v="2"/>
    <x v="0"/>
    <n v="55"/>
    <s v="North Dakota"/>
    <x v="2"/>
    <x v="10"/>
    <x v="0"/>
    <x v="18"/>
    <x v="1"/>
    <x v="1"/>
    <x v="1"/>
    <x v="1"/>
    <n v="23"/>
    <x v="2"/>
    <x v="5"/>
  </r>
  <r>
    <n v="2892"/>
    <x v="36"/>
    <x v="1"/>
    <x v="17"/>
    <x v="0"/>
    <n v="73"/>
    <s v="Ohio"/>
    <x v="3"/>
    <x v="13"/>
    <x v="0"/>
    <x v="25"/>
    <x v="1"/>
    <x v="1"/>
    <x v="1"/>
    <x v="1"/>
    <n v="10"/>
    <x v="3"/>
    <x v="5"/>
  </r>
  <r>
    <n v="2893"/>
    <x v="40"/>
    <x v="1"/>
    <x v="10"/>
    <x v="0"/>
    <n v="39"/>
    <s v="Nevada"/>
    <x v="2"/>
    <x v="11"/>
    <x v="1"/>
    <x v="4"/>
    <x v="1"/>
    <x v="3"/>
    <x v="1"/>
    <x v="1"/>
    <n v="47"/>
    <x v="2"/>
    <x v="5"/>
  </r>
  <r>
    <n v="2894"/>
    <x v="28"/>
    <x v="1"/>
    <x v="22"/>
    <x v="3"/>
    <n v="20"/>
    <s v="Kentucky"/>
    <x v="1"/>
    <x v="20"/>
    <x v="1"/>
    <x v="0"/>
    <x v="1"/>
    <x v="1"/>
    <x v="1"/>
    <x v="1"/>
    <n v="44"/>
    <x v="5"/>
    <x v="6"/>
  </r>
  <r>
    <n v="2895"/>
    <x v="25"/>
    <x v="1"/>
    <x v="16"/>
    <x v="3"/>
    <n v="32"/>
    <s v="Kentucky"/>
    <x v="1"/>
    <x v="18"/>
    <x v="1"/>
    <x v="1"/>
    <x v="1"/>
    <x v="3"/>
    <x v="1"/>
    <x v="1"/>
    <n v="41"/>
    <x v="0"/>
    <x v="2"/>
  </r>
  <r>
    <n v="2896"/>
    <x v="19"/>
    <x v="1"/>
    <x v="15"/>
    <x v="0"/>
    <n v="86"/>
    <s v="Montana"/>
    <x v="0"/>
    <x v="14"/>
    <x v="2"/>
    <x v="12"/>
    <x v="1"/>
    <x v="3"/>
    <x v="1"/>
    <x v="1"/>
    <n v="29"/>
    <x v="4"/>
    <x v="5"/>
  </r>
  <r>
    <n v="2897"/>
    <x v="11"/>
    <x v="1"/>
    <x v="0"/>
    <x v="0"/>
    <n v="91"/>
    <s v="Delaware"/>
    <x v="2"/>
    <x v="5"/>
    <x v="2"/>
    <x v="13"/>
    <x v="1"/>
    <x v="1"/>
    <x v="1"/>
    <x v="1"/>
    <n v="2"/>
    <x v="0"/>
    <x v="6"/>
  </r>
  <r>
    <n v="2898"/>
    <x v="49"/>
    <x v="1"/>
    <x v="14"/>
    <x v="2"/>
    <n v="59"/>
    <s v="Montana"/>
    <x v="0"/>
    <x v="10"/>
    <x v="3"/>
    <x v="25"/>
    <x v="1"/>
    <x v="1"/>
    <x v="1"/>
    <x v="1"/>
    <n v="2"/>
    <x v="1"/>
    <x v="0"/>
  </r>
  <r>
    <n v="2899"/>
    <x v="51"/>
    <x v="1"/>
    <x v="4"/>
    <x v="1"/>
    <n v="33"/>
    <s v="New Jersey"/>
    <x v="3"/>
    <x v="15"/>
    <x v="2"/>
    <x v="12"/>
    <x v="1"/>
    <x v="0"/>
    <x v="1"/>
    <x v="1"/>
    <n v="29"/>
    <x v="2"/>
    <x v="2"/>
  </r>
  <r>
    <n v="2900"/>
    <x v="2"/>
    <x v="1"/>
    <x v="23"/>
    <x v="1"/>
    <n v="64"/>
    <s v="Nebraska"/>
    <x v="2"/>
    <x v="9"/>
    <x v="1"/>
    <x v="19"/>
    <x v="1"/>
    <x v="4"/>
    <x v="1"/>
    <x v="1"/>
    <n v="22"/>
    <x v="4"/>
    <x v="0"/>
  </r>
  <r>
    <n v="2901"/>
    <x v="38"/>
    <x v="1"/>
    <x v="0"/>
    <x v="0"/>
    <n v="67"/>
    <s v="Maryland"/>
    <x v="3"/>
    <x v="10"/>
    <x v="0"/>
    <x v="17"/>
    <x v="1"/>
    <x v="3"/>
    <x v="1"/>
    <x v="1"/>
    <n v="23"/>
    <x v="1"/>
    <x v="4"/>
  </r>
  <r>
    <n v="2902"/>
    <x v="38"/>
    <x v="1"/>
    <x v="0"/>
    <x v="0"/>
    <n v="43"/>
    <s v="Alabama"/>
    <x v="0"/>
    <x v="8"/>
    <x v="0"/>
    <x v="5"/>
    <x v="1"/>
    <x v="1"/>
    <x v="1"/>
    <x v="1"/>
    <n v="46"/>
    <x v="2"/>
    <x v="3"/>
  </r>
  <r>
    <n v="2903"/>
    <x v="7"/>
    <x v="1"/>
    <x v="23"/>
    <x v="1"/>
    <n v="32"/>
    <s v="North Carolina"/>
    <x v="1"/>
    <x v="20"/>
    <x v="1"/>
    <x v="12"/>
    <x v="1"/>
    <x v="3"/>
    <x v="1"/>
    <x v="1"/>
    <n v="19"/>
    <x v="3"/>
    <x v="4"/>
  </r>
  <r>
    <n v="2904"/>
    <x v="21"/>
    <x v="1"/>
    <x v="18"/>
    <x v="3"/>
    <n v="39"/>
    <s v="Delaware"/>
    <x v="1"/>
    <x v="11"/>
    <x v="1"/>
    <x v="1"/>
    <x v="1"/>
    <x v="4"/>
    <x v="1"/>
    <x v="1"/>
    <n v="24"/>
    <x v="2"/>
    <x v="6"/>
  </r>
  <r>
    <n v="2905"/>
    <x v="38"/>
    <x v="1"/>
    <x v="3"/>
    <x v="1"/>
    <n v="41"/>
    <s v="Iowa"/>
    <x v="2"/>
    <x v="0"/>
    <x v="1"/>
    <x v="17"/>
    <x v="1"/>
    <x v="4"/>
    <x v="1"/>
    <x v="1"/>
    <n v="43"/>
    <x v="0"/>
    <x v="5"/>
  </r>
  <r>
    <n v="2906"/>
    <x v="44"/>
    <x v="1"/>
    <x v="12"/>
    <x v="3"/>
    <n v="53"/>
    <s v="New York"/>
    <x v="0"/>
    <x v="13"/>
    <x v="0"/>
    <x v="6"/>
    <x v="1"/>
    <x v="3"/>
    <x v="1"/>
    <x v="1"/>
    <n v="14"/>
    <x v="5"/>
    <x v="0"/>
  </r>
  <r>
    <n v="2907"/>
    <x v="44"/>
    <x v="1"/>
    <x v="7"/>
    <x v="2"/>
    <n v="27"/>
    <s v="Virginia"/>
    <x v="2"/>
    <x v="21"/>
    <x v="1"/>
    <x v="20"/>
    <x v="1"/>
    <x v="3"/>
    <x v="1"/>
    <x v="1"/>
    <n v="7"/>
    <x v="0"/>
    <x v="2"/>
  </r>
  <r>
    <n v="2908"/>
    <x v="1"/>
    <x v="1"/>
    <x v="12"/>
    <x v="3"/>
    <n v="82"/>
    <s v="Maryland"/>
    <x v="3"/>
    <x v="12"/>
    <x v="2"/>
    <x v="18"/>
    <x v="1"/>
    <x v="2"/>
    <x v="1"/>
    <x v="1"/>
    <n v="50"/>
    <x v="3"/>
    <x v="4"/>
  </r>
  <r>
    <n v="2909"/>
    <x v="49"/>
    <x v="1"/>
    <x v="0"/>
    <x v="0"/>
    <n v="87"/>
    <s v="Texas"/>
    <x v="2"/>
    <x v="19"/>
    <x v="0"/>
    <x v="0"/>
    <x v="1"/>
    <x v="5"/>
    <x v="1"/>
    <x v="1"/>
    <n v="15"/>
    <x v="5"/>
    <x v="6"/>
  </r>
  <r>
    <n v="2910"/>
    <x v="7"/>
    <x v="1"/>
    <x v="21"/>
    <x v="3"/>
    <n v="78"/>
    <s v="Louisiana"/>
    <x v="2"/>
    <x v="21"/>
    <x v="0"/>
    <x v="21"/>
    <x v="1"/>
    <x v="2"/>
    <x v="1"/>
    <x v="1"/>
    <n v="40"/>
    <x v="2"/>
    <x v="6"/>
  </r>
  <r>
    <n v="2911"/>
    <x v="45"/>
    <x v="1"/>
    <x v="22"/>
    <x v="3"/>
    <n v="32"/>
    <s v="Mississippi"/>
    <x v="2"/>
    <x v="24"/>
    <x v="2"/>
    <x v="3"/>
    <x v="1"/>
    <x v="5"/>
    <x v="1"/>
    <x v="1"/>
    <n v="41"/>
    <x v="2"/>
    <x v="5"/>
  </r>
  <r>
    <n v="2912"/>
    <x v="48"/>
    <x v="1"/>
    <x v="20"/>
    <x v="0"/>
    <n v="38"/>
    <s v="Ohio"/>
    <x v="3"/>
    <x v="20"/>
    <x v="3"/>
    <x v="3"/>
    <x v="1"/>
    <x v="2"/>
    <x v="1"/>
    <x v="1"/>
    <n v="34"/>
    <x v="0"/>
    <x v="3"/>
  </r>
  <r>
    <n v="2913"/>
    <x v="39"/>
    <x v="1"/>
    <x v="9"/>
    <x v="1"/>
    <n v="37"/>
    <s v="Oregon"/>
    <x v="2"/>
    <x v="22"/>
    <x v="0"/>
    <x v="17"/>
    <x v="1"/>
    <x v="3"/>
    <x v="1"/>
    <x v="1"/>
    <n v="27"/>
    <x v="1"/>
    <x v="4"/>
  </r>
  <r>
    <n v="2914"/>
    <x v="49"/>
    <x v="1"/>
    <x v="7"/>
    <x v="2"/>
    <n v="83"/>
    <s v="Wyoming"/>
    <x v="0"/>
    <x v="17"/>
    <x v="0"/>
    <x v="1"/>
    <x v="1"/>
    <x v="0"/>
    <x v="1"/>
    <x v="1"/>
    <n v="12"/>
    <x v="1"/>
    <x v="6"/>
  </r>
  <r>
    <n v="2915"/>
    <x v="4"/>
    <x v="1"/>
    <x v="1"/>
    <x v="0"/>
    <n v="72"/>
    <s v="Pennsylvania"/>
    <x v="2"/>
    <x v="22"/>
    <x v="3"/>
    <x v="22"/>
    <x v="1"/>
    <x v="0"/>
    <x v="1"/>
    <x v="1"/>
    <n v="1"/>
    <x v="5"/>
    <x v="4"/>
  </r>
  <r>
    <n v="2916"/>
    <x v="8"/>
    <x v="1"/>
    <x v="5"/>
    <x v="0"/>
    <n v="30"/>
    <s v="Oregon"/>
    <x v="2"/>
    <x v="17"/>
    <x v="3"/>
    <x v="9"/>
    <x v="1"/>
    <x v="0"/>
    <x v="1"/>
    <x v="1"/>
    <n v="39"/>
    <x v="5"/>
    <x v="4"/>
  </r>
  <r>
    <n v="2917"/>
    <x v="46"/>
    <x v="1"/>
    <x v="6"/>
    <x v="0"/>
    <n v="66"/>
    <s v="Oklahoma"/>
    <x v="2"/>
    <x v="14"/>
    <x v="0"/>
    <x v="2"/>
    <x v="1"/>
    <x v="0"/>
    <x v="1"/>
    <x v="1"/>
    <n v="13"/>
    <x v="2"/>
    <x v="4"/>
  </r>
  <r>
    <n v="2918"/>
    <x v="44"/>
    <x v="1"/>
    <x v="5"/>
    <x v="0"/>
    <n v="45"/>
    <s v="Colorado"/>
    <x v="3"/>
    <x v="3"/>
    <x v="0"/>
    <x v="3"/>
    <x v="1"/>
    <x v="5"/>
    <x v="1"/>
    <x v="1"/>
    <n v="50"/>
    <x v="0"/>
    <x v="2"/>
  </r>
  <r>
    <n v="2919"/>
    <x v="1"/>
    <x v="1"/>
    <x v="12"/>
    <x v="3"/>
    <n v="73"/>
    <s v="New York"/>
    <x v="1"/>
    <x v="13"/>
    <x v="3"/>
    <x v="8"/>
    <x v="1"/>
    <x v="1"/>
    <x v="1"/>
    <x v="1"/>
    <n v="36"/>
    <x v="1"/>
    <x v="1"/>
  </r>
  <r>
    <n v="2920"/>
    <x v="14"/>
    <x v="1"/>
    <x v="9"/>
    <x v="1"/>
    <n v="67"/>
    <s v="Minnesota"/>
    <x v="0"/>
    <x v="4"/>
    <x v="0"/>
    <x v="22"/>
    <x v="1"/>
    <x v="3"/>
    <x v="1"/>
    <x v="1"/>
    <n v="31"/>
    <x v="5"/>
    <x v="5"/>
  </r>
  <r>
    <n v="2921"/>
    <x v="23"/>
    <x v="1"/>
    <x v="12"/>
    <x v="3"/>
    <n v="72"/>
    <s v="Texas"/>
    <x v="3"/>
    <x v="18"/>
    <x v="1"/>
    <x v="8"/>
    <x v="1"/>
    <x v="1"/>
    <x v="1"/>
    <x v="1"/>
    <n v="3"/>
    <x v="5"/>
    <x v="4"/>
  </r>
  <r>
    <n v="2922"/>
    <x v="30"/>
    <x v="1"/>
    <x v="8"/>
    <x v="3"/>
    <n v="24"/>
    <s v="Wisconsin"/>
    <x v="2"/>
    <x v="17"/>
    <x v="3"/>
    <x v="12"/>
    <x v="1"/>
    <x v="3"/>
    <x v="1"/>
    <x v="1"/>
    <n v="11"/>
    <x v="1"/>
    <x v="0"/>
  </r>
  <r>
    <n v="2923"/>
    <x v="4"/>
    <x v="1"/>
    <x v="12"/>
    <x v="3"/>
    <n v="68"/>
    <s v="Kentucky"/>
    <x v="0"/>
    <x v="19"/>
    <x v="0"/>
    <x v="1"/>
    <x v="1"/>
    <x v="0"/>
    <x v="1"/>
    <x v="1"/>
    <n v="16"/>
    <x v="3"/>
    <x v="3"/>
  </r>
  <r>
    <n v="2924"/>
    <x v="48"/>
    <x v="1"/>
    <x v="5"/>
    <x v="0"/>
    <n v="70"/>
    <s v="Pennsylvania"/>
    <x v="2"/>
    <x v="23"/>
    <x v="1"/>
    <x v="19"/>
    <x v="1"/>
    <x v="4"/>
    <x v="1"/>
    <x v="1"/>
    <n v="12"/>
    <x v="1"/>
    <x v="3"/>
  </r>
  <r>
    <n v="2925"/>
    <x v="36"/>
    <x v="1"/>
    <x v="5"/>
    <x v="0"/>
    <n v="64"/>
    <s v="Rhode Island"/>
    <x v="0"/>
    <x v="21"/>
    <x v="0"/>
    <x v="18"/>
    <x v="1"/>
    <x v="1"/>
    <x v="1"/>
    <x v="1"/>
    <n v="37"/>
    <x v="5"/>
    <x v="6"/>
  </r>
  <r>
    <n v="2926"/>
    <x v="22"/>
    <x v="1"/>
    <x v="1"/>
    <x v="0"/>
    <n v="91"/>
    <s v="Illinois"/>
    <x v="2"/>
    <x v="1"/>
    <x v="1"/>
    <x v="11"/>
    <x v="1"/>
    <x v="5"/>
    <x v="1"/>
    <x v="1"/>
    <n v="43"/>
    <x v="2"/>
    <x v="6"/>
  </r>
  <r>
    <n v="2927"/>
    <x v="14"/>
    <x v="1"/>
    <x v="8"/>
    <x v="3"/>
    <n v="82"/>
    <s v="Maryland"/>
    <x v="2"/>
    <x v="0"/>
    <x v="0"/>
    <x v="6"/>
    <x v="1"/>
    <x v="4"/>
    <x v="1"/>
    <x v="1"/>
    <n v="9"/>
    <x v="1"/>
    <x v="1"/>
  </r>
  <r>
    <n v="2928"/>
    <x v="4"/>
    <x v="1"/>
    <x v="5"/>
    <x v="0"/>
    <n v="24"/>
    <s v="Missouri"/>
    <x v="2"/>
    <x v="13"/>
    <x v="2"/>
    <x v="2"/>
    <x v="1"/>
    <x v="0"/>
    <x v="1"/>
    <x v="1"/>
    <n v="15"/>
    <x v="0"/>
    <x v="4"/>
  </r>
  <r>
    <n v="2929"/>
    <x v="37"/>
    <x v="1"/>
    <x v="16"/>
    <x v="3"/>
    <n v="80"/>
    <s v="Alabama"/>
    <x v="0"/>
    <x v="22"/>
    <x v="1"/>
    <x v="15"/>
    <x v="1"/>
    <x v="5"/>
    <x v="1"/>
    <x v="1"/>
    <n v="17"/>
    <x v="2"/>
    <x v="1"/>
  </r>
  <r>
    <n v="2930"/>
    <x v="18"/>
    <x v="1"/>
    <x v="20"/>
    <x v="0"/>
    <n v="53"/>
    <s v="Maine"/>
    <x v="3"/>
    <x v="3"/>
    <x v="0"/>
    <x v="9"/>
    <x v="1"/>
    <x v="2"/>
    <x v="1"/>
    <x v="1"/>
    <n v="42"/>
    <x v="0"/>
    <x v="0"/>
  </r>
  <r>
    <n v="2931"/>
    <x v="21"/>
    <x v="1"/>
    <x v="17"/>
    <x v="0"/>
    <n v="50"/>
    <s v="Mississippi"/>
    <x v="2"/>
    <x v="20"/>
    <x v="1"/>
    <x v="17"/>
    <x v="1"/>
    <x v="1"/>
    <x v="1"/>
    <x v="1"/>
    <n v="14"/>
    <x v="0"/>
    <x v="5"/>
  </r>
  <r>
    <n v="2932"/>
    <x v="24"/>
    <x v="1"/>
    <x v="16"/>
    <x v="3"/>
    <n v="31"/>
    <s v="Alabama"/>
    <x v="2"/>
    <x v="23"/>
    <x v="3"/>
    <x v="9"/>
    <x v="1"/>
    <x v="4"/>
    <x v="1"/>
    <x v="1"/>
    <n v="49"/>
    <x v="2"/>
    <x v="4"/>
  </r>
  <r>
    <n v="2933"/>
    <x v="13"/>
    <x v="1"/>
    <x v="21"/>
    <x v="3"/>
    <n v="88"/>
    <s v="Alaska"/>
    <x v="0"/>
    <x v="13"/>
    <x v="1"/>
    <x v="20"/>
    <x v="1"/>
    <x v="0"/>
    <x v="1"/>
    <x v="1"/>
    <n v="3"/>
    <x v="3"/>
    <x v="3"/>
  </r>
  <r>
    <n v="2934"/>
    <x v="7"/>
    <x v="1"/>
    <x v="19"/>
    <x v="3"/>
    <n v="52"/>
    <s v="Illinois"/>
    <x v="2"/>
    <x v="18"/>
    <x v="2"/>
    <x v="22"/>
    <x v="1"/>
    <x v="3"/>
    <x v="1"/>
    <x v="1"/>
    <n v="28"/>
    <x v="0"/>
    <x v="5"/>
  </r>
  <r>
    <n v="2935"/>
    <x v="21"/>
    <x v="1"/>
    <x v="24"/>
    <x v="3"/>
    <n v="22"/>
    <s v="Idaho"/>
    <x v="2"/>
    <x v="20"/>
    <x v="3"/>
    <x v="10"/>
    <x v="1"/>
    <x v="2"/>
    <x v="1"/>
    <x v="1"/>
    <n v="41"/>
    <x v="4"/>
    <x v="3"/>
  </r>
  <r>
    <n v="2936"/>
    <x v="44"/>
    <x v="1"/>
    <x v="4"/>
    <x v="1"/>
    <n v="27"/>
    <s v="North Carolina"/>
    <x v="3"/>
    <x v="0"/>
    <x v="1"/>
    <x v="12"/>
    <x v="1"/>
    <x v="3"/>
    <x v="1"/>
    <x v="1"/>
    <n v="11"/>
    <x v="0"/>
    <x v="1"/>
  </r>
  <r>
    <n v="2937"/>
    <x v="18"/>
    <x v="1"/>
    <x v="11"/>
    <x v="0"/>
    <n v="34"/>
    <s v="Washington"/>
    <x v="2"/>
    <x v="3"/>
    <x v="1"/>
    <x v="15"/>
    <x v="1"/>
    <x v="0"/>
    <x v="1"/>
    <x v="1"/>
    <n v="46"/>
    <x v="3"/>
    <x v="1"/>
  </r>
  <r>
    <n v="2938"/>
    <x v="48"/>
    <x v="1"/>
    <x v="8"/>
    <x v="3"/>
    <n v="39"/>
    <s v="West Virginia"/>
    <x v="2"/>
    <x v="3"/>
    <x v="1"/>
    <x v="24"/>
    <x v="1"/>
    <x v="4"/>
    <x v="1"/>
    <x v="1"/>
    <n v="15"/>
    <x v="2"/>
    <x v="1"/>
  </r>
  <r>
    <n v="2939"/>
    <x v="48"/>
    <x v="1"/>
    <x v="12"/>
    <x v="3"/>
    <n v="53"/>
    <s v="Maine"/>
    <x v="2"/>
    <x v="10"/>
    <x v="3"/>
    <x v="21"/>
    <x v="1"/>
    <x v="3"/>
    <x v="1"/>
    <x v="1"/>
    <n v="15"/>
    <x v="1"/>
    <x v="5"/>
  </r>
  <r>
    <n v="2940"/>
    <x v="45"/>
    <x v="1"/>
    <x v="1"/>
    <x v="0"/>
    <n v="46"/>
    <s v="Kentucky"/>
    <x v="2"/>
    <x v="19"/>
    <x v="0"/>
    <x v="24"/>
    <x v="1"/>
    <x v="0"/>
    <x v="1"/>
    <x v="1"/>
    <n v="34"/>
    <x v="0"/>
    <x v="1"/>
  </r>
  <r>
    <n v="2941"/>
    <x v="12"/>
    <x v="1"/>
    <x v="8"/>
    <x v="3"/>
    <n v="85"/>
    <s v="Massachusetts"/>
    <x v="0"/>
    <x v="19"/>
    <x v="2"/>
    <x v="6"/>
    <x v="1"/>
    <x v="2"/>
    <x v="1"/>
    <x v="1"/>
    <n v="13"/>
    <x v="1"/>
    <x v="5"/>
  </r>
  <r>
    <n v="2942"/>
    <x v="21"/>
    <x v="1"/>
    <x v="11"/>
    <x v="0"/>
    <n v="86"/>
    <s v="Pennsylvania"/>
    <x v="0"/>
    <x v="7"/>
    <x v="1"/>
    <x v="18"/>
    <x v="1"/>
    <x v="1"/>
    <x v="1"/>
    <x v="1"/>
    <n v="27"/>
    <x v="3"/>
    <x v="5"/>
  </r>
  <r>
    <n v="2943"/>
    <x v="22"/>
    <x v="1"/>
    <x v="20"/>
    <x v="0"/>
    <n v="63"/>
    <s v="Hawaii"/>
    <x v="2"/>
    <x v="18"/>
    <x v="2"/>
    <x v="5"/>
    <x v="1"/>
    <x v="1"/>
    <x v="1"/>
    <x v="1"/>
    <n v="37"/>
    <x v="4"/>
    <x v="1"/>
  </r>
  <r>
    <n v="2944"/>
    <x v="26"/>
    <x v="1"/>
    <x v="5"/>
    <x v="0"/>
    <n v="44"/>
    <s v="Virginia"/>
    <x v="2"/>
    <x v="20"/>
    <x v="1"/>
    <x v="23"/>
    <x v="1"/>
    <x v="3"/>
    <x v="1"/>
    <x v="1"/>
    <n v="37"/>
    <x v="2"/>
    <x v="5"/>
  </r>
  <r>
    <n v="2945"/>
    <x v="2"/>
    <x v="1"/>
    <x v="4"/>
    <x v="1"/>
    <n v="95"/>
    <s v="New York"/>
    <x v="3"/>
    <x v="17"/>
    <x v="2"/>
    <x v="20"/>
    <x v="1"/>
    <x v="1"/>
    <x v="1"/>
    <x v="1"/>
    <n v="4"/>
    <x v="0"/>
    <x v="6"/>
  </r>
  <r>
    <n v="2946"/>
    <x v="45"/>
    <x v="1"/>
    <x v="22"/>
    <x v="3"/>
    <n v="49"/>
    <s v="Delaware"/>
    <x v="2"/>
    <x v="4"/>
    <x v="2"/>
    <x v="6"/>
    <x v="1"/>
    <x v="1"/>
    <x v="1"/>
    <x v="1"/>
    <n v="1"/>
    <x v="2"/>
    <x v="6"/>
  </r>
  <r>
    <n v="2947"/>
    <x v="21"/>
    <x v="1"/>
    <x v="13"/>
    <x v="0"/>
    <n v="77"/>
    <s v="Hawaii"/>
    <x v="0"/>
    <x v="7"/>
    <x v="1"/>
    <x v="11"/>
    <x v="1"/>
    <x v="1"/>
    <x v="1"/>
    <x v="1"/>
    <n v="29"/>
    <x v="4"/>
    <x v="3"/>
  </r>
  <r>
    <n v="2948"/>
    <x v="16"/>
    <x v="1"/>
    <x v="16"/>
    <x v="3"/>
    <n v="63"/>
    <s v="Nebraska"/>
    <x v="0"/>
    <x v="15"/>
    <x v="1"/>
    <x v="14"/>
    <x v="1"/>
    <x v="3"/>
    <x v="1"/>
    <x v="1"/>
    <n v="50"/>
    <x v="0"/>
    <x v="2"/>
  </r>
  <r>
    <n v="2949"/>
    <x v="12"/>
    <x v="1"/>
    <x v="13"/>
    <x v="0"/>
    <n v="83"/>
    <s v="Vermont"/>
    <x v="2"/>
    <x v="10"/>
    <x v="0"/>
    <x v="0"/>
    <x v="1"/>
    <x v="3"/>
    <x v="1"/>
    <x v="1"/>
    <n v="38"/>
    <x v="5"/>
    <x v="4"/>
  </r>
  <r>
    <n v="2950"/>
    <x v="15"/>
    <x v="1"/>
    <x v="16"/>
    <x v="3"/>
    <n v="93"/>
    <s v="Iowa"/>
    <x v="2"/>
    <x v="15"/>
    <x v="1"/>
    <x v="22"/>
    <x v="1"/>
    <x v="5"/>
    <x v="1"/>
    <x v="1"/>
    <n v="15"/>
    <x v="3"/>
    <x v="2"/>
  </r>
  <r>
    <n v="2951"/>
    <x v="40"/>
    <x v="1"/>
    <x v="2"/>
    <x v="0"/>
    <n v="91"/>
    <s v="Iowa"/>
    <x v="1"/>
    <x v="1"/>
    <x v="0"/>
    <x v="7"/>
    <x v="1"/>
    <x v="4"/>
    <x v="1"/>
    <x v="1"/>
    <n v="44"/>
    <x v="5"/>
    <x v="6"/>
  </r>
  <r>
    <n v="2952"/>
    <x v="36"/>
    <x v="1"/>
    <x v="18"/>
    <x v="3"/>
    <n v="99"/>
    <s v="Arkansas"/>
    <x v="0"/>
    <x v="1"/>
    <x v="3"/>
    <x v="12"/>
    <x v="1"/>
    <x v="1"/>
    <x v="1"/>
    <x v="1"/>
    <n v="14"/>
    <x v="1"/>
    <x v="1"/>
  </r>
  <r>
    <n v="2953"/>
    <x v="2"/>
    <x v="1"/>
    <x v="22"/>
    <x v="3"/>
    <n v="24"/>
    <s v="Alabama"/>
    <x v="2"/>
    <x v="15"/>
    <x v="1"/>
    <x v="8"/>
    <x v="1"/>
    <x v="2"/>
    <x v="1"/>
    <x v="1"/>
    <n v="5"/>
    <x v="5"/>
    <x v="5"/>
  </r>
  <r>
    <n v="2954"/>
    <x v="4"/>
    <x v="1"/>
    <x v="10"/>
    <x v="0"/>
    <n v="82"/>
    <s v="Maryland"/>
    <x v="2"/>
    <x v="5"/>
    <x v="2"/>
    <x v="6"/>
    <x v="1"/>
    <x v="2"/>
    <x v="1"/>
    <x v="1"/>
    <n v="11"/>
    <x v="2"/>
    <x v="2"/>
  </r>
  <r>
    <n v="2955"/>
    <x v="23"/>
    <x v="1"/>
    <x v="17"/>
    <x v="0"/>
    <n v="28"/>
    <s v="South Dakota"/>
    <x v="2"/>
    <x v="21"/>
    <x v="0"/>
    <x v="20"/>
    <x v="1"/>
    <x v="0"/>
    <x v="1"/>
    <x v="1"/>
    <n v="15"/>
    <x v="2"/>
    <x v="2"/>
  </r>
  <r>
    <n v="2956"/>
    <x v="32"/>
    <x v="1"/>
    <x v="23"/>
    <x v="1"/>
    <n v="67"/>
    <s v="Vermont"/>
    <x v="2"/>
    <x v="5"/>
    <x v="0"/>
    <x v="5"/>
    <x v="1"/>
    <x v="1"/>
    <x v="1"/>
    <x v="1"/>
    <n v="46"/>
    <x v="2"/>
    <x v="2"/>
  </r>
  <r>
    <n v="2957"/>
    <x v="16"/>
    <x v="1"/>
    <x v="10"/>
    <x v="0"/>
    <n v="88"/>
    <s v="Montana"/>
    <x v="2"/>
    <x v="8"/>
    <x v="3"/>
    <x v="18"/>
    <x v="1"/>
    <x v="3"/>
    <x v="1"/>
    <x v="1"/>
    <n v="30"/>
    <x v="0"/>
    <x v="5"/>
  </r>
  <r>
    <n v="2958"/>
    <x v="28"/>
    <x v="1"/>
    <x v="16"/>
    <x v="3"/>
    <n v="70"/>
    <s v="South Dakota"/>
    <x v="1"/>
    <x v="0"/>
    <x v="3"/>
    <x v="10"/>
    <x v="1"/>
    <x v="3"/>
    <x v="1"/>
    <x v="1"/>
    <n v="2"/>
    <x v="1"/>
    <x v="2"/>
  </r>
  <r>
    <n v="2959"/>
    <x v="0"/>
    <x v="1"/>
    <x v="11"/>
    <x v="0"/>
    <n v="100"/>
    <s v="Ohio"/>
    <x v="2"/>
    <x v="13"/>
    <x v="2"/>
    <x v="9"/>
    <x v="1"/>
    <x v="3"/>
    <x v="1"/>
    <x v="1"/>
    <n v="28"/>
    <x v="3"/>
    <x v="5"/>
  </r>
  <r>
    <n v="2960"/>
    <x v="21"/>
    <x v="1"/>
    <x v="8"/>
    <x v="3"/>
    <n v="28"/>
    <s v="Texas"/>
    <x v="0"/>
    <x v="1"/>
    <x v="2"/>
    <x v="10"/>
    <x v="1"/>
    <x v="1"/>
    <x v="1"/>
    <x v="1"/>
    <n v="9"/>
    <x v="3"/>
    <x v="3"/>
  </r>
  <r>
    <n v="2961"/>
    <x v="9"/>
    <x v="1"/>
    <x v="7"/>
    <x v="2"/>
    <n v="48"/>
    <s v="Indiana"/>
    <x v="1"/>
    <x v="8"/>
    <x v="1"/>
    <x v="15"/>
    <x v="1"/>
    <x v="3"/>
    <x v="1"/>
    <x v="1"/>
    <n v="47"/>
    <x v="2"/>
    <x v="1"/>
  </r>
  <r>
    <n v="2962"/>
    <x v="23"/>
    <x v="1"/>
    <x v="15"/>
    <x v="0"/>
    <n v="43"/>
    <s v="New Hampshire"/>
    <x v="1"/>
    <x v="9"/>
    <x v="3"/>
    <x v="11"/>
    <x v="1"/>
    <x v="1"/>
    <x v="1"/>
    <x v="1"/>
    <n v="21"/>
    <x v="5"/>
    <x v="4"/>
  </r>
  <r>
    <n v="2963"/>
    <x v="9"/>
    <x v="1"/>
    <x v="13"/>
    <x v="0"/>
    <n v="40"/>
    <s v="California"/>
    <x v="0"/>
    <x v="6"/>
    <x v="3"/>
    <x v="17"/>
    <x v="1"/>
    <x v="0"/>
    <x v="1"/>
    <x v="1"/>
    <n v="42"/>
    <x v="2"/>
    <x v="6"/>
  </r>
  <r>
    <n v="2964"/>
    <x v="16"/>
    <x v="1"/>
    <x v="23"/>
    <x v="1"/>
    <n v="97"/>
    <s v="Maine"/>
    <x v="2"/>
    <x v="18"/>
    <x v="1"/>
    <x v="15"/>
    <x v="1"/>
    <x v="1"/>
    <x v="1"/>
    <x v="1"/>
    <n v="28"/>
    <x v="2"/>
    <x v="1"/>
  </r>
  <r>
    <n v="2965"/>
    <x v="42"/>
    <x v="1"/>
    <x v="7"/>
    <x v="2"/>
    <n v="25"/>
    <s v="Ohio"/>
    <x v="1"/>
    <x v="3"/>
    <x v="3"/>
    <x v="22"/>
    <x v="1"/>
    <x v="4"/>
    <x v="1"/>
    <x v="1"/>
    <n v="13"/>
    <x v="0"/>
    <x v="0"/>
  </r>
  <r>
    <n v="2966"/>
    <x v="39"/>
    <x v="1"/>
    <x v="18"/>
    <x v="3"/>
    <n v="45"/>
    <s v="Delaware"/>
    <x v="2"/>
    <x v="24"/>
    <x v="2"/>
    <x v="14"/>
    <x v="1"/>
    <x v="3"/>
    <x v="1"/>
    <x v="1"/>
    <n v="25"/>
    <x v="3"/>
    <x v="0"/>
  </r>
  <r>
    <n v="2967"/>
    <x v="16"/>
    <x v="1"/>
    <x v="23"/>
    <x v="1"/>
    <n v="49"/>
    <s v="Oklahoma"/>
    <x v="0"/>
    <x v="20"/>
    <x v="3"/>
    <x v="11"/>
    <x v="1"/>
    <x v="5"/>
    <x v="1"/>
    <x v="1"/>
    <n v="38"/>
    <x v="5"/>
    <x v="6"/>
  </r>
  <r>
    <n v="2968"/>
    <x v="50"/>
    <x v="1"/>
    <x v="4"/>
    <x v="1"/>
    <n v="36"/>
    <s v="Indiana"/>
    <x v="0"/>
    <x v="5"/>
    <x v="2"/>
    <x v="23"/>
    <x v="1"/>
    <x v="1"/>
    <x v="1"/>
    <x v="1"/>
    <n v="40"/>
    <x v="0"/>
    <x v="2"/>
  </r>
  <r>
    <n v="2969"/>
    <x v="8"/>
    <x v="1"/>
    <x v="1"/>
    <x v="0"/>
    <n v="48"/>
    <s v="South Carolina"/>
    <x v="1"/>
    <x v="0"/>
    <x v="3"/>
    <x v="8"/>
    <x v="1"/>
    <x v="0"/>
    <x v="1"/>
    <x v="1"/>
    <n v="25"/>
    <x v="1"/>
    <x v="6"/>
  </r>
  <r>
    <n v="2970"/>
    <x v="24"/>
    <x v="1"/>
    <x v="22"/>
    <x v="3"/>
    <n v="62"/>
    <s v="Vermont"/>
    <x v="1"/>
    <x v="24"/>
    <x v="3"/>
    <x v="24"/>
    <x v="1"/>
    <x v="2"/>
    <x v="1"/>
    <x v="1"/>
    <n v="20"/>
    <x v="1"/>
    <x v="6"/>
  </r>
  <r>
    <n v="2971"/>
    <x v="41"/>
    <x v="1"/>
    <x v="16"/>
    <x v="3"/>
    <n v="74"/>
    <s v="Kansas"/>
    <x v="2"/>
    <x v="3"/>
    <x v="0"/>
    <x v="23"/>
    <x v="1"/>
    <x v="1"/>
    <x v="1"/>
    <x v="1"/>
    <n v="44"/>
    <x v="2"/>
    <x v="4"/>
  </r>
  <r>
    <n v="2972"/>
    <x v="11"/>
    <x v="1"/>
    <x v="8"/>
    <x v="3"/>
    <n v="100"/>
    <s v="Utah"/>
    <x v="0"/>
    <x v="22"/>
    <x v="3"/>
    <x v="20"/>
    <x v="1"/>
    <x v="2"/>
    <x v="1"/>
    <x v="1"/>
    <n v="9"/>
    <x v="3"/>
    <x v="6"/>
  </r>
  <r>
    <n v="2973"/>
    <x v="18"/>
    <x v="1"/>
    <x v="14"/>
    <x v="2"/>
    <n v="39"/>
    <s v="New York"/>
    <x v="1"/>
    <x v="21"/>
    <x v="3"/>
    <x v="19"/>
    <x v="1"/>
    <x v="1"/>
    <x v="1"/>
    <x v="1"/>
    <n v="11"/>
    <x v="0"/>
    <x v="6"/>
  </r>
  <r>
    <n v="2974"/>
    <x v="15"/>
    <x v="1"/>
    <x v="23"/>
    <x v="1"/>
    <n v="65"/>
    <s v="Indiana"/>
    <x v="2"/>
    <x v="24"/>
    <x v="2"/>
    <x v="2"/>
    <x v="1"/>
    <x v="5"/>
    <x v="1"/>
    <x v="1"/>
    <n v="3"/>
    <x v="4"/>
    <x v="0"/>
  </r>
  <r>
    <n v="2975"/>
    <x v="9"/>
    <x v="1"/>
    <x v="4"/>
    <x v="1"/>
    <n v="99"/>
    <s v="Tennessee"/>
    <x v="3"/>
    <x v="15"/>
    <x v="2"/>
    <x v="7"/>
    <x v="1"/>
    <x v="5"/>
    <x v="1"/>
    <x v="1"/>
    <n v="34"/>
    <x v="2"/>
    <x v="1"/>
  </r>
  <r>
    <n v="2976"/>
    <x v="12"/>
    <x v="1"/>
    <x v="18"/>
    <x v="3"/>
    <n v="68"/>
    <s v="Georgia"/>
    <x v="3"/>
    <x v="12"/>
    <x v="0"/>
    <x v="9"/>
    <x v="1"/>
    <x v="4"/>
    <x v="1"/>
    <x v="1"/>
    <n v="48"/>
    <x v="1"/>
    <x v="6"/>
  </r>
  <r>
    <n v="2977"/>
    <x v="11"/>
    <x v="1"/>
    <x v="7"/>
    <x v="2"/>
    <n v="97"/>
    <s v="Nebraska"/>
    <x v="2"/>
    <x v="5"/>
    <x v="2"/>
    <x v="11"/>
    <x v="1"/>
    <x v="0"/>
    <x v="1"/>
    <x v="1"/>
    <n v="28"/>
    <x v="1"/>
    <x v="0"/>
  </r>
  <r>
    <n v="2978"/>
    <x v="21"/>
    <x v="1"/>
    <x v="6"/>
    <x v="0"/>
    <n v="47"/>
    <s v="Washington"/>
    <x v="0"/>
    <x v="9"/>
    <x v="0"/>
    <x v="23"/>
    <x v="1"/>
    <x v="3"/>
    <x v="1"/>
    <x v="1"/>
    <n v="20"/>
    <x v="0"/>
    <x v="2"/>
  </r>
  <r>
    <n v="2979"/>
    <x v="10"/>
    <x v="1"/>
    <x v="6"/>
    <x v="0"/>
    <n v="56"/>
    <s v="Idaho"/>
    <x v="1"/>
    <x v="17"/>
    <x v="1"/>
    <x v="20"/>
    <x v="1"/>
    <x v="1"/>
    <x v="1"/>
    <x v="1"/>
    <n v="49"/>
    <x v="4"/>
    <x v="0"/>
  </r>
  <r>
    <n v="2980"/>
    <x v="18"/>
    <x v="1"/>
    <x v="2"/>
    <x v="0"/>
    <n v="91"/>
    <s v="Louisiana"/>
    <x v="0"/>
    <x v="8"/>
    <x v="3"/>
    <x v="5"/>
    <x v="1"/>
    <x v="2"/>
    <x v="1"/>
    <x v="1"/>
    <n v="14"/>
    <x v="3"/>
    <x v="1"/>
  </r>
  <r>
    <n v="2981"/>
    <x v="27"/>
    <x v="1"/>
    <x v="24"/>
    <x v="3"/>
    <n v="93"/>
    <s v="New Jersey"/>
    <x v="0"/>
    <x v="11"/>
    <x v="3"/>
    <x v="14"/>
    <x v="1"/>
    <x v="4"/>
    <x v="1"/>
    <x v="1"/>
    <n v="9"/>
    <x v="4"/>
    <x v="5"/>
  </r>
  <r>
    <n v="2982"/>
    <x v="3"/>
    <x v="1"/>
    <x v="13"/>
    <x v="0"/>
    <n v="36"/>
    <s v="Delaware"/>
    <x v="0"/>
    <x v="6"/>
    <x v="0"/>
    <x v="8"/>
    <x v="1"/>
    <x v="3"/>
    <x v="1"/>
    <x v="1"/>
    <n v="37"/>
    <x v="0"/>
    <x v="2"/>
  </r>
  <r>
    <n v="2983"/>
    <x v="23"/>
    <x v="1"/>
    <x v="10"/>
    <x v="0"/>
    <n v="45"/>
    <s v="Wisconsin"/>
    <x v="2"/>
    <x v="20"/>
    <x v="2"/>
    <x v="15"/>
    <x v="1"/>
    <x v="5"/>
    <x v="1"/>
    <x v="1"/>
    <n v="4"/>
    <x v="2"/>
    <x v="1"/>
  </r>
  <r>
    <n v="2984"/>
    <x v="52"/>
    <x v="1"/>
    <x v="13"/>
    <x v="0"/>
    <n v="44"/>
    <s v="West Virginia"/>
    <x v="2"/>
    <x v="4"/>
    <x v="0"/>
    <x v="11"/>
    <x v="1"/>
    <x v="4"/>
    <x v="1"/>
    <x v="1"/>
    <n v="1"/>
    <x v="2"/>
    <x v="3"/>
  </r>
  <r>
    <n v="2985"/>
    <x v="4"/>
    <x v="1"/>
    <x v="24"/>
    <x v="3"/>
    <n v="32"/>
    <s v="Texas"/>
    <x v="0"/>
    <x v="16"/>
    <x v="1"/>
    <x v="24"/>
    <x v="1"/>
    <x v="4"/>
    <x v="1"/>
    <x v="1"/>
    <n v="36"/>
    <x v="5"/>
    <x v="4"/>
  </r>
  <r>
    <n v="2986"/>
    <x v="5"/>
    <x v="1"/>
    <x v="22"/>
    <x v="3"/>
    <n v="36"/>
    <s v="Hawaii"/>
    <x v="1"/>
    <x v="11"/>
    <x v="2"/>
    <x v="21"/>
    <x v="1"/>
    <x v="0"/>
    <x v="1"/>
    <x v="1"/>
    <n v="21"/>
    <x v="1"/>
    <x v="4"/>
  </r>
  <r>
    <n v="2987"/>
    <x v="46"/>
    <x v="1"/>
    <x v="22"/>
    <x v="3"/>
    <n v="85"/>
    <s v="Arizona"/>
    <x v="1"/>
    <x v="5"/>
    <x v="2"/>
    <x v="13"/>
    <x v="1"/>
    <x v="4"/>
    <x v="1"/>
    <x v="1"/>
    <n v="16"/>
    <x v="2"/>
    <x v="5"/>
  </r>
  <r>
    <n v="2988"/>
    <x v="6"/>
    <x v="1"/>
    <x v="11"/>
    <x v="0"/>
    <n v="36"/>
    <s v="Louisiana"/>
    <x v="0"/>
    <x v="13"/>
    <x v="0"/>
    <x v="25"/>
    <x v="1"/>
    <x v="5"/>
    <x v="1"/>
    <x v="1"/>
    <n v="42"/>
    <x v="1"/>
    <x v="5"/>
  </r>
  <r>
    <n v="2989"/>
    <x v="28"/>
    <x v="1"/>
    <x v="20"/>
    <x v="0"/>
    <n v="55"/>
    <s v="Nevada"/>
    <x v="1"/>
    <x v="6"/>
    <x v="1"/>
    <x v="16"/>
    <x v="1"/>
    <x v="4"/>
    <x v="1"/>
    <x v="1"/>
    <n v="31"/>
    <x v="5"/>
    <x v="5"/>
  </r>
  <r>
    <n v="2990"/>
    <x v="5"/>
    <x v="1"/>
    <x v="22"/>
    <x v="3"/>
    <n v="20"/>
    <s v="Rhode Island"/>
    <x v="3"/>
    <x v="11"/>
    <x v="2"/>
    <x v="24"/>
    <x v="1"/>
    <x v="4"/>
    <x v="1"/>
    <x v="1"/>
    <n v="6"/>
    <x v="2"/>
    <x v="1"/>
  </r>
  <r>
    <n v="2991"/>
    <x v="28"/>
    <x v="1"/>
    <x v="5"/>
    <x v="0"/>
    <n v="91"/>
    <s v="Illinois"/>
    <x v="2"/>
    <x v="11"/>
    <x v="3"/>
    <x v="19"/>
    <x v="1"/>
    <x v="1"/>
    <x v="1"/>
    <x v="1"/>
    <n v="24"/>
    <x v="0"/>
    <x v="5"/>
  </r>
  <r>
    <n v="2992"/>
    <x v="17"/>
    <x v="1"/>
    <x v="10"/>
    <x v="0"/>
    <n v="71"/>
    <s v="Utah"/>
    <x v="0"/>
    <x v="14"/>
    <x v="2"/>
    <x v="20"/>
    <x v="1"/>
    <x v="3"/>
    <x v="1"/>
    <x v="1"/>
    <n v="7"/>
    <x v="3"/>
    <x v="4"/>
  </r>
  <r>
    <n v="2993"/>
    <x v="38"/>
    <x v="1"/>
    <x v="20"/>
    <x v="0"/>
    <n v="64"/>
    <s v="North Dakota"/>
    <x v="2"/>
    <x v="4"/>
    <x v="1"/>
    <x v="20"/>
    <x v="1"/>
    <x v="5"/>
    <x v="1"/>
    <x v="1"/>
    <n v="25"/>
    <x v="0"/>
    <x v="1"/>
  </r>
  <r>
    <n v="2994"/>
    <x v="45"/>
    <x v="1"/>
    <x v="14"/>
    <x v="2"/>
    <n v="21"/>
    <s v="Kansas"/>
    <x v="0"/>
    <x v="21"/>
    <x v="1"/>
    <x v="19"/>
    <x v="1"/>
    <x v="1"/>
    <x v="1"/>
    <x v="1"/>
    <n v="18"/>
    <x v="1"/>
    <x v="4"/>
  </r>
  <r>
    <n v="2995"/>
    <x v="28"/>
    <x v="1"/>
    <x v="1"/>
    <x v="0"/>
    <n v="100"/>
    <s v="Nevada"/>
    <x v="1"/>
    <x v="3"/>
    <x v="0"/>
    <x v="1"/>
    <x v="1"/>
    <x v="5"/>
    <x v="1"/>
    <x v="1"/>
    <n v="14"/>
    <x v="4"/>
    <x v="3"/>
  </r>
  <r>
    <n v="2996"/>
    <x v="26"/>
    <x v="1"/>
    <x v="2"/>
    <x v="0"/>
    <n v="96"/>
    <s v="Virginia"/>
    <x v="2"/>
    <x v="20"/>
    <x v="2"/>
    <x v="25"/>
    <x v="1"/>
    <x v="3"/>
    <x v="1"/>
    <x v="1"/>
    <n v="42"/>
    <x v="5"/>
    <x v="4"/>
  </r>
  <r>
    <n v="2997"/>
    <x v="27"/>
    <x v="1"/>
    <x v="16"/>
    <x v="3"/>
    <n v="91"/>
    <s v="Utah"/>
    <x v="2"/>
    <x v="3"/>
    <x v="1"/>
    <x v="3"/>
    <x v="1"/>
    <x v="0"/>
    <x v="1"/>
    <x v="1"/>
    <n v="6"/>
    <x v="0"/>
    <x v="6"/>
  </r>
  <r>
    <n v="2998"/>
    <x v="38"/>
    <x v="1"/>
    <x v="1"/>
    <x v="0"/>
    <n v="40"/>
    <s v="Idaho"/>
    <x v="1"/>
    <x v="22"/>
    <x v="1"/>
    <x v="2"/>
    <x v="1"/>
    <x v="2"/>
    <x v="1"/>
    <x v="1"/>
    <n v="14"/>
    <x v="0"/>
    <x v="6"/>
  </r>
  <r>
    <n v="2999"/>
    <x v="18"/>
    <x v="1"/>
    <x v="15"/>
    <x v="0"/>
    <n v="53"/>
    <s v="Alaska"/>
    <x v="2"/>
    <x v="16"/>
    <x v="2"/>
    <x v="10"/>
    <x v="1"/>
    <x v="0"/>
    <x v="1"/>
    <x v="1"/>
    <n v="30"/>
    <x v="5"/>
    <x v="3"/>
  </r>
  <r>
    <n v="3000"/>
    <x v="18"/>
    <x v="1"/>
    <x v="12"/>
    <x v="3"/>
    <n v="48"/>
    <s v="New Hampshire"/>
    <x v="1"/>
    <x v="4"/>
    <x v="0"/>
    <x v="22"/>
    <x v="1"/>
    <x v="3"/>
    <x v="1"/>
    <x v="1"/>
    <n v="10"/>
    <x v="1"/>
    <x v="5"/>
  </r>
  <r>
    <n v="3001"/>
    <x v="9"/>
    <x v="1"/>
    <x v="3"/>
    <x v="1"/>
    <n v="70"/>
    <s v="Ohio"/>
    <x v="2"/>
    <x v="12"/>
    <x v="0"/>
    <x v="18"/>
    <x v="1"/>
    <x v="0"/>
    <x v="1"/>
    <x v="1"/>
    <n v="7"/>
    <x v="3"/>
    <x v="1"/>
  </r>
  <r>
    <n v="3002"/>
    <x v="26"/>
    <x v="1"/>
    <x v="7"/>
    <x v="2"/>
    <n v="29"/>
    <s v="Montana"/>
    <x v="0"/>
    <x v="4"/>
    <x v="2"/>
    <x v="10"/>
    <x v="1"/>
    <x v="0"/>
    <x v="1"/>
    <x v="1"/>
    <n v="28"/>
    <x v="2"/>
    <x v="3"/>
  </r>
  <r>
    <n v="3003"/>
    <x v="27"/>
    <x v="1"/>
    <x v="22"/>
    <x v="3"/>
    <n v="29"/>
    <s v="Louisiana"/>
    <x v="2"/>
    <x v="1"/>
    <x v="3"/>
    <x v="15"/>
    <x v="1"/>
    <x v="2"/>
    <x v="1"/>
    <x v="1"/>
    <n v="19"/>
    <x v="4"/>
    <x v="3"/>
  </r>
  <r>
    <n v="3004"/>
    <x v="47"/>
    <x v="1"/>
    <x v="0"/>
    <x v="0"/>
    <n v="53"/>
    <s v="Oregon"/>
    <x v="2"/>
    <x v="18"/>
    <x v="3"/>
    <x v="11"/>
    <x v="1"/>
    <x v="0"/>
    <x v="1"/>
    <x v="1"/>
    <n v="13"/>
    <x v="2"/>
    <x v="6"/>
  </r>
  <r>
    <n v="3005"/>
    <x v="4"/>
    <x v="1"/>
    <x v="11"/>
    <x v="0"/>
    <n v="79"/>
    <s v="Arizona"/>
    <x v="2"/>
    <x v="12"/>
    <x v="0"/>
    <x v="18"/>
    <x v="1"/>
    <x v="5"/>
    <x v="1"/>
    <x v="1"/>
    <n v="23"/>
    <x v="0"/>
    <x v="0"/>
  </r>
  <r>
    <n v="3006"/>
    <x v="20"/>
    <x v="1"/>
    <x v="6"/>
    <x v="0"/>
    <n v="65"/>
    <s v="Alaska"/>
    <x v="3"/>
    <x v="18"/>
    <x v="1"/>
    <x v="1"/>
    <x v="1"/>
    <x v="0"/>
    <x v="1"/>
    <x v="1"/>
    <n v="5"/>
    <x v="0"/>
    <x v="1"/>
  </r>
  <r>
    <n v="3007"/>
    <x v="43"/>
    <x v="1"/>
    <x v="10"/>
    <x v="0"/>
    <n v="99"/>
    <s v="Utah"/>
    <x v="2"/>
    <x v="8"/>
    <x v="2"/>
    <x v="18"/>
    <x v="1"/>
    <x v="5"/>
    <x v="1"/>
    <x v="1"/>
    <n v="17"/>
    <x v="0"/>
    <x v="4"/>
  </r>
  <r>
    <n v="3008"/>
    <x v="51"/>
    <x v="1"/>
    <x v="12"/>
    <x v="3"/>
    <n v="60"/>
    <s v="New York"/>
    <x v="0"/>
    <x v="12"/>
    <x v="0"/>
    <x v="21"/>
    <x v="1"/>
    <x v="2"/>
    <x v="1"/>
    <x v="1"/>
    <n v="31"/>
    <x v="0"/>
    <x v="1"/>
  </r>
  <r>
    <n v="3009"/>
    <x v="31"/>
    <x v="1"/>
    <x v="9"/>
    <x v="1"/>
    <n v="86"/>
    <s v="New Mexico"/>
    <x v="2"/>
    <x v="9"/>
    <x v="0"/>
    <x v="8"/>
    <x v="1"/>
    <x v="1"/>
    <x v="1"/>
    <x v="1"/>
    <n v="19"/>
    <x v="3"/>
    <x v="1"/>
  </r>
  <r>
    <n v="3010"/>
    <x v="46"/>
    <x v="1"/>
    <x v="22"/>
    <x v="3"/>
    <n v="73"/>
    <s v="Louisiana"/>
    <x v="2"/>
    <x v="5"/>
    <x v="0"/>
    <x v="12"/>
    <x v="1"/>
    <x v="1"/>
    <x v="1"/>
    <x v="1"/>
    <n v="8"/>
    <x v="0"/>
    <x v="0"/>
  </r>
  <r>
    <n v="3011"/>
    <x v="27"/>
    <x v="1"/>
    <x v="22"/>
    <x v="3"/>
    <n v="45"/>
    <s v="Ohio"/>
    <x v="2"/>
    <x v="10"/>
    <x v="0"/>
    <x v="13"/>
    <x v="1"/>
    <x v="1"/>
    <x v="1"/>
    <x v="1"/>
    <n v="15"/>
    <x v="2"/>
    <x v="2"/>
  </r>
  <r>
    <n v="3012"/>
    <x v="30"/>
    <x v="1"/>
    <x v="22"/>
    <x v="3"/>
    <n v="70"/>
    <s v="Nevada"/>
    <x v="1"/>
    <x v="18"/>
    <x v="2"/>
    <x v="21"/>
    <x v="1"/>
    <x v="2"/>
    <x v="1"/>
    <x v="1"/>
    <n v="18"/>
    <x v="2"/>
    <x v="6"/>
  </r>
  <r>
    <n v="3013"/>
    <x v="32"/>
    <x v="1"/>
    <x v="22"/>
    <x v="3"/>
    <n v="65"/>
    <s v="Idaho"/>
    <x v="2"/>
    <x v="11"/>
    <x v="3"/>
    <x v="1"/>
    <x v="1"/>
    <x v="3"/>
    <x v="1"/>
    <x v="1"/>
    <n v="16"/>
    <x v="3"/>
    <x v="2"/>
  </r>
  <r>
    <n v="3014"/>
    <x v="38"/>
    <x v="1"/>
    <x v="11"/>
    <x v="0"/>
    <n v="55"/>
    <s v="Arizona"/>
    <x v="0"/>
    <x v="15"/>
    <x v="2"/>
    <x v="19"/>
    <x v="1"/>
    <x v="5"/>
    <x v="1"/>
    <x v="1"/>
    <n v="13"/>
    <x v="1"/>
    <x v="5"/>
  </r>
  <r>
    <n v="3015"/>
    <x v="41"/>
    <x v="1"/>
    <x v="17"/>
    <x v="0"/>
    <n v="65"/>
    <s v="Utah"/>
    <x v="2"/>
    <x v="1"/>
    <x v="1"/>
    <x v="9"/>
    <x v="1"/>
    <x v="0"/>
    <x v="1"/>
    <x v="1"/>
    <n v="38"/>
    <x v="3"/>
    <x v="6"/>
  </r>
  <r>
    <n v="3016"/>
    <x v="43"/>
    <x v="1"/>
    <x v="18"/>
    <x v="3"/>
    <n v="21"/>
    <s v="Wyoming"/>
    <x v="3"/>
    <x v="12"/>
    <x v="1"/>
    <x v="11"/>
    <x v="1"/>
    <x v="0"/>
    <x v="1"/>
    <x v="1"/>
    <n v="27"/>
    <x v="4"/>
    <x v="4"/>
  </r>
  <r>
    <n v="3017"/>
    <x v="11"/>
    <x v="1"/>
    <x v="0"/>
    <x v="0"/>
    <n v="26"/>
    <s v="Indiana"/>
    <x v="0"/>
    <x v="12"/>
    <x v="2"/>
    <x v="8"/>
    <x v="1"/>
    <x v="5"/>
    <x v="1"/>
    <x v="1"/>
    <n v="31"/>
    <x v="4"/>
    <x v="3"/>
  </r>
  <r>
    <n v="3018"/>
    <x v="44"/>
    <x v="1"/>
    <x v="12"/>
    <x v="3"/>
    <n v="71"/>
    <s v="Wisconsin"/>
    <x v="1"/>
    <x v="7"/>
    <x v="2"/>
    <x v="13"/>
    <x v="1"/>
    <x v="2"/>
    <x v="1"/>
    <x v="1"/>
    <n v="24"/>
    <x v="1"/>
    <x v="4"/>
  </r>
  <r>
    <n v="3019"/>
    <x v="49"/>
    <x v="1"/>
    <x v="23"/>
    <x v="1"/>
    <n v="41"/>
    <s v="Texas"/>
    <x v="2"/>
    <x v="14"/>
    <x v="2"/>
    <x v="21"/>
    <x v="1"/>
    <x v="1"/>
    <x v="1"/>
    <x v="1"/>
    <n v="21"/>
    <x v="5"/>
    <x v="4"/>
  </r>
  <r>
    <n v="3020"/>
    <x v="1"/>
    <x v="1"/>
    <x v="14"/>
    <x v="2"/>
    <n v="44"/>
    <s v="Utah"/>
    <x v="2"/>
    <x v="22"/>
    <x v="0"/>
    <x v="20"/>
    <x v="1"/>
    <x v="4"/>
    <x v="1"/>
    <x v="1"/>
    <n v="15"/>
    <x v="3"/>
    <x v="2"/>
  </r>
  <r>
    <n v="3021"/>
    <x v="51"/>
    <x v="1"/>
    <x v="2"/>
    <x v="0"/>
    <n v="81"/>
    <s v="Arkansas"/>
    <x v="1"/>
    <x v="4"/>
    <x v="3"/>
    <x v="11"/>
    <x v="1"/>
    <x v="5"/>
    <x v="1"/>
    <x v="1"/>
    <n v="48"/>
    <x v="0"/>
    <x v="6"/>
  </r>
  <r>
    <n v="3022"/>
    <x v="13"/>
    <x v="1"/>
    <x v="12"/>
    <x v="3"/>
    <n v="77"/>
    <s v="Pennsylvania"/>
    <x v="1"/>
    <x v="24"/>
    <x v="2"/>
    <x v="9"/>
    <x v="1"/>
    <x v="4"/>
    <x v="1"/>
    <x v="1"/>
    <n v="47"/>
    <x v="1"/>
    <x v="3"/>
  </r>
  <r>
    <n v="3023"/>
    <x v="44"/>
    <x v="1"/>
    <x v="3"/>
    <x v="1"/>
    <n v="26"/>
    <s v="Georgia"/>
    <x v="2"/>
    <x v="12"/>
    <x v="3"/>
    <x v="17"/>
    <x v="1"/>
    <x v="1"/>
    <x v="1"/>
    <x v="1"/>
    <n v="23"/>
    <x v="3"/>
    <x v="1"/>
  </r>
  <r>
    <n v="3024"/>
    <x v="2"/>
    <x v="1"/>
    <x v="21"/>
    <x v="3"/>
    <n v="31"/>
    <s v="Indiana"/>
    <x v="2"/>
    <x v="18"/>
    <x v="2"/>
    <x v="3"/>
    <x v="1"/>
    <x v="0"/>
    <x v="1"/>
    <x v="1"/>
    <n v="4"/>
    <x v="3"/>
    <x v="3"/>
  </r>
  <r>
    <n v="3025"/>
    <x v="29"/>
    <x v="1"/>
    <x v="0"/>
    <x v="0"/>
    <n v="82"/>
    <s v="Idaho"/>
    <x v="1"/>
    <x v="3"/>
    <x v="1"/>
    <x v="17"/>
    <x v="1"/>
    <x v="1"/>
    <x v="1"/>
    <x v="1"/>
    <n v="47"/>
    <x v="2"/>
    <x v="6"/>
  </r>
  <r>
    <n v="3026"/>
    <x v="37"/>
    <x v="1"/>
    <x v="9"/>
    <x v="1"/>
    <n v="60"/>
    <s v="Montana"/>
    <x v="3"/>
    <x v="14"/>
    <x v="2"/>
    <x v="23"/>
    <x v="1"/>
    <x v="5"/>
    <x v="1"/>
    <x v="1"/>
    <n v="7"/>
    <x v="3"/>
    <x v="5"/>
  </r>
  <r>
    <n v="3027"/>
    <x v="0"/>
    <x v="1"/>
    <x v="5"/>
    <x v="0"/>
    <n v="70"/>
    <s v="Tennessee"/>
    <x v="0"/>
    <x v="23"/>
    <x v="3"/>
    <x v="25"/>
    <x v="1"/>
    <x v="1"/>
    <x v="1"/>
    <x v="1"/>
    <n v="6"/>
    <x v="2"/>
    <x v="2"/>
  </r>
  <r>
    <n v="3028"/>
    <x v="16"/>
    <x v="1"/>
    <x v="15"/>
    <x v="0"/>
    <n v="26"/>
    <s v="West Virginia"/>
    <x v="3"/>
    <x v="15"/>
    <x v="0"/>
    <x v="11"/>
    <x v="1"/>
    <x v="4"/>
    <x v="1"/>
    <x v="1"/>
    <n v="47"/>
    <x v="2"/>
    <x v="3"/>
  </r>
  <r>
    <n v="3029"/>
    <x v="46"/>
    <x v="1"/>
    <x v="10"/>
    <x v="0"/>
    <n v="100"/>
    <s v="California"/>
    <x v="0"/>
    <x v="4"/>
    <x v="2"/>
    <x v="21"/>
    <x v="1"/>
    <x v="1"/>
    <x v="1"/>
    <x v="1"/>
    <n v="7"/>
    <x v="3"/>
    <x v="6"/>
  </r>
  <r>
    <n v="3030"/>
    <x v="14"/>
    <x v="1"/>
    <x v="10"/>
    <x v="0"/>
    <n v="82"/>
    <s v="Georgia"/>
    <x v="2"/>
    <x v="9"/>
    <x v="2"/>
    <x v="0"/>
    <x v="1"/>
    <x v="1"/>
    <x v="1"/>
    <x v="1"/>
    <n v="1"/>
    <x v="5"/>
    <x v="3"/>
  </r>
  <r>
    <n v="3031"/>
    <x v="49"/>
    <x v="1"/>
    <x v="4"/>
    <x v="1"/>
    <n v="24"/>
    <s v="Maryland"/>
    <x v="3"/>
    <x v="7"/>
    <x v="1"/>
    <x v="5"/>
    <x v="1"/>
    <x v="4"/>
    <x v="1"/>
    <x v="1"/>
    <n v="23"/>
    <x v="2"/>
    <x v="1"/>
  </r>
  <r>
    <n v="3032"/>
    <x v="12"/>
    <x v="1"/>
    <x v="0"/>
    <x v="0"/>
    <n v="74"/>
    <s v="Idaho"/>
    <x v="0"/>
    <x v="11"/>
    <x v="2"/>
    <x v="8"/>
    <x v="1"/>
    <x v="4"/>
    <x v="1"/>
    <x v="1"/>
    <n v="30"/>
    <x v="2"/>
    <x v="5"/>
  </r>
  <r>
    <n v="3033"/>
    <x v="8"/>
    <x v="1"/>
    <x v="21"/>
    <x v="3"/>
    <n v="58"/>
    <s v="California"/>
    <x v="3"/>
    <x v="14"/>
    <x v="2"/>
    <x v="1"/>
    <x v="1"/>
    <x v="2"/>
    <x v="1"/>
    <x v="1"/>
    <n v="24"/>
    <x v="2"/>
    <x v="3"/>
  </r>
  <r>
    <n v="3034"/>
    <x v="40"/>
    <x v="1"/>
    <x v="1"/>
    <x v="0"/>
    <n v="56"/>
    <s v="Alabama"/>
    <x v="0"/>
    <x v="20"/>
    <x v="1"/>
    <x v="5"/>
    <x v="1"/>
    <x v="5"/>
    <x v="1"/>
    <x v="1"/>
    <n v="9"/>
    <x v="3"/>
    <x v="1"/>
  </r>
  <r>
    <n v="3035"/>
    <x v="47"/>
    <x v="1"/>
    <x v="23"/>
    <x v="1"/>
    <n v="37"/>
    <s v="Utah"/>
    <x v="0"/>
    <x v="15"/>
    <x v="1"/>
    <x v="1"/>
    <x v="1"/>
    <x v="4"/>
    <x v="1"/>
    <x v="1"/>
    <n v="25"/>
    <x v="2"/>
    <x v="3"/>
  </r>
  <r>
    <n v="3036"/>
    <x v="28"/>
    <x v="1"/>
    <x v="8"/>
    <x v="3"/>
    <n v="64"/>
    <s v="Kentucky"/>
    <x v="2"/>
    <x v="9"/>
    <x v="1"/>
    <x v="9"/>
    <x v="1"/>
    <x v="1"/>
    <x v="1"/>
    <x v="1"/>
    <n v="18"/>
    <x v="1"/>
    <x v="4"/>
  </r>
  <r>
    <n v="3037"/>
    <x v="2"/>
    <x v="1"/>
    <x v="15"/>
    <x v="0"/>
    <n v="58"/>
    <s v="Vermont"/>
    <x v="1"/>
    <x v="10"/>
    <x v="1"/>
    <x v="24"/>
    <x v="1"/>
    <x v="2"/>
    <x v="1"/>
    <x v="1"/>
    <n v="7"/>
    <x v="0"/>
    <x v="0"/>
  </r>
  <r>
    <n v="3038"/>
    <x v="47"/>
    <x v="1"/>
    <x v="22"/>
    <x v="3"/>
    <n v="44"/>
    <s v="Iowa"/>
    <x v="0"/>
    <x v="4"/>
    <x v="2"/>
    <x v="6"/>
    <x v="1"/>
    <x v="2"/>
    <x v="1"/>
    <x v="1"/>
    <n v="2"/>
    <x v="1"/>
    <x v="2"/>
  </r>
  <r>
    <n v="3039"/>
    <x v="19"/>
    <x v="1"/>
    <x v="16"/>
    <x v="3"/>
    <n v="39"/>
    <s v="Georgia"/>
    <x v="2"/>
    <x v="18"/>
    <x v="2"/>
    <x v="19"/>
    <x v="1"/>
    <x v="1"/>
    <x v="1"/>
    <x v="1"/>
    <n v="36"/>
    <x v="5"/>
    <x v="2"/>
  </r>
  <r>
    <n v="3040"/>
    <x v="35"/>
    <x v="1"/>
    <x v="0"/>
    <x v="0"/>
    <n v="48"/>
    <s v="Alabama"/>
    <x v="0"/>
    <x v="24"/>
    <x v="1"/>
    <x v="4"/>
    <x v="1"/>
    <x v="2"/>
    <x v="1"/>
    <x v="1"/>
    <n v="31"/>
    <x v="3"/>
    <x v="4"/>
  </r>
  <r>
    <n v="3041"/>
    <x v="20"/>
    <x v="1"/>
    <x v="8"/>
    <x v="3"/>
    <n v="32"/>
    <s v="Nebraska"/>
    <x v="2"/>
    <x v="9"/>
    <x v="3"/>
    <x v="7"/>
    <x v="1"/>
    <x v="0"/>
    <x v="1"/>
    <x v="1"/>
    <n v="10"/>
    <x v="1"/>
    <x v="0"/>
  </r>
  <r>
    <n v="3042"/>
    <x v="39"/>
    <x v="1"/>
    <x v="8"/>
    <x v="3"/>
    <n v="79"/>
    <s v="Rhode Island"/>
    <x v="2"/>
    <x v="20"/>
    <x v="0"/>
    <x v="17"/>
    <x v="1"/>
    <x v="0"/>
    <x v="1"/>
    <x v="1"/>
    <n v="27"/>
    <x v="3"/>
    <x v="5"/>
  </r>
  <r>
    <n v="3043"/>
    <x v="10"/>
    <x v="1"/>
    <x v="7"/>
    <x v="2"/>
    <n v="27"/>
    <s v="South Dakota"/>
    <x v="0"/>
    <x v="2"/>
    <x v="0"/>
    <x v="3"/>
    <x v="1"/>
    <x v="2"/>
    <x v="1"/>
    <x v="1"/>
    <n v="14"/>
    <x v="3"/>
    <x v="6"/>
  </r>
  <r>
    <n v="3044"/>
    <x v="4"/>
    <x v="1"/>
    <x v="22"/>
    <x v="3"/>
    <n v="98"/>
    <s v="Illinois"/>
    <x v="1"/>
    <x v="15"/>
    <x v="3"/>
    <x v="5"/>
    <x v="1"/>
    <x v="5"/>
    <x v="1"/>
    <x v="1"/>
    <n v="17"/>
    <x v="2"/>
    <x v="5"/>
  </r>
  <r>
    <n v="3045"/>
    <x v="3"/>
    <x v="1"/>
    <x v="23"/>
    <x v="1"/>
    <n v="67"/>
    <s v="North Carolina"/>
    <x v="2"/>
    <x v="23"/>
    <x v="0"/>
    <x v="2"/>
    <x v="1"/>
    <x v="1"/>
    <x v="1"/>
    <x v="1"/>
    <n v="10"/>
    <x v="4"/>
    <x v="3"/>
  </r>
  <r>
    <n v="3046"/>
    <x v="32"/>
    <x v="1"/>
    <x v="20"/>
    <x v="0"/>
    <n v="37"/>
    <s v="Florida"/>
    <x v="0"/>
    <x v="13"/>
    <x v="0"/>
    <x v="12"/>
    <x v="1"/>
    <x v="4"/>
    <x v="1"/>
    <x v="1"/>
    <n v="4"/>
    <x v="3"/>
    <x v="4"/>
  </r>
  <r>
    <n v="3047"/>
    <x v="52"/>
    <x v="1"/>
    <x v="9"/>
    <x v="1"/>
    <n v="49"/>
    <s v="Pennsylvania"/>
    <x v="2"/>
    <x v="3"/>
    <x v="1"/>
    <x v="4"/>
    <x v="1"/>
    <x v="5"/>
    <x v="1"/>
    <x v="1"/>
    <n v="25"/>
    <x v="1"/>
    <x v="6"/>
  </r>
  <r>
    <n v="3048"/>
    <x v="3"/>
    <x v="1"/>
    <x v="4"/>
    <x v="1"/>
    <n v="74"/>
    <s v="Vermont"/>
    <x v="2"/>
    <x v="10"/>
    <x v="3"/>
    <x v="7"/>
    <x v="1"/>
    <x v="4"/>
    <x v="1"/>
    <x v="1"/>
    <n v="3"/>
    <x v="3"/>
    <x v="4"/>
  </r>
  <r>
    <n v="3049"/>
    <x v="28"/>
    <x v="1"/>
    <x v="16"/>
    <x v="3"/>
    <n v="93"/>
    <s v="Colorado"/>
    <x v="2"/>
    <x v="8"/>
    <x v="2"/>
    <x v="20"/>
    <x v="1"/>
    <x v="3"/>
    <x v="1"/>
    <x v="1"/>
    <n v="47"/>
    <x v="0"/>
    <x v="0"/>
  </r>
  <r>
    <n v="3050"/>
    <x v="37"/>
    <x v="1"/>
    <x v="8"/>
    <x v="3"/>
    <n v="60"/>
    <s v="Utah"/>
    <x v="0"/>
    <x v="16"/>
    <x v="2"/>
    <x v="21"/>
    <x v="1"/>
    <x v="2"/>
    <x v="1"/>
    <x v="1"/>
    <n v="41"/>
    <x v="4"/>
    <x v="4"/>
  </r>
  <r>
    <n v="3051"/>
    <x v="18"/>
    <x v="1"/>
    <x v="7"/>
    <x v="2"/>
    <n v="76"/>
    <s v="Kentucky"/>
    <x v="1"/>
    <x v="14"/>
    <x v="1"/>
    <x v="15"/>
    <x v="1"/>
    <x v="3"/>
    <x v="1"/>
    <x v="1"/>
    <n v="28"/>
    <x v="0"/>
    <x v="6"/>
  </r>
  <r>
    <n v="3052"/>
    <x v="42"/>
    <x v="1"/>
    <x v="12"/>
    <x v="3"/>
    <n v="64"/>
    <s v="Wyoming"/>
    <x v="0"/>
    <x v="9"/>
    <x v="2"/>
    <x v="12"/>
    <x v="1"/>
    <x v="0"/>
    <x v="1"/>
    <x v="1"/>
    <n v="49"/>
    <x v="5"/>
    <x v="6"/>
  </r>
  <r>
    <n v="3053"/>
    <x v="39"/>
    <x v="1"/>
    <x v="9"/>
    <x v="1"/>
    <n v="38"/>
    <s v="Maine"/>
    <x v="3"/>
    <x v="8"/>
    <x v="1"/>
    <x v="9"/>
    <x v="1"/>
    <x v="5"/>
    <x v="1"/>
    <x v="1"/>
    <n v="7"/>
    <x v="4"/>
    <x v="0"/>
  </r>
  <r>
    <n v="3054"/>
    <x v="45"/>
    <x v="1"/>
    <x v="9"/>
    <x v="1"/>
    <n v="91"/>
    <s v="Maine"/>
    <x v="0"/>
    <x v="18"/>
    <x v="0"/>
    <x v="4"/>
    <x v="1"/>
    <x v="2"/>
    <x v="1"/>
    <x v="1"/>
    <n v="22"/>
    <x v="4"/>
    <x v="5"/>
  </r>
  <r>
    <n v="3055"/>
    <x v="32"/>
    <x v="1"/>
    <x v="23"/>
    <x v="1"/>
    <n v="70"/>
    <s v="New Hampshire"/>
    <x v="1"/>
    <x v="23"/>
    <x v="2"/>
    <x v="8"/>
    <x v="1"/>
    <x v="4"/>
    <x v="1"/>
    <x v="1"/>
    <n v="34"/>
    <x v="0"/>
    <x v="5"/>
  </r>
  <r>
    <n v="3056"/>
    <x v="7"/>
    <x v="1"/>
    <x v="3"/>
    <x v="1"/>
    <n v="22"/>
    <s v="Kansas"/>
    <x v="2"/>
    <x v="10"/>
    <x v="3"/>
    <x v="16"/>
    <x v="1"/>
    <x v="3"/>
    <x v="1"/>
    <x v="1"/>
    <n v="5"/>
    <x v="5"/>
    <x v="4"/>
  </r>
  <r>
    <n v="3057"/>
    <x v="28"/>
    <x v="1"/>
    <x v="24"/>
    <x v="3"/>
    <n v="59"/>
    <s v="New Jersey"/>
    <x v="2"/>
    <x v="19"/>
    <x v="1"/>
    <x v="22"/>
    <x v="1"/>
    <x v="3"/>
    <x v="1"/>
    <x v="1"/>
    <n v="15"/>
    <x v="1"/>
    <x v="4"/>
  </r>
  <r>
    <n v="3058"/>
    <x v="29"/>
    <x v="1"/>
    <x v="21"/>
    <x v="3"/>
    <n v="22"/>
    <s v="North Carolina"/>
    <x v="2"/>
    <x v="24"/>
    <x v="1"/>
    <x v="23"/>
    <x v="1"/>
    <x v="2"/>
    <x v="1"/>
    <x v="1"/>
    <n v="26"/>
    <x v="4"/>
    <x v="1"/>
  </r>
  <r>
    <n v="3059"/>
    <x v="38"/>
    <x v="1"/>
    <x v="8"/>
    <x v="3"/>
    <n v="74"/>
    <s v="West Virginia"/>
    <x v="1"/>
    <x v="20"/>
    <x v="0"/>
    <x v="22"/>
    <x v="1"/>
    <x v="5"/>
    <x v="1"/>
    <x v="1"/>
    <n v="3"/>
    <x v="4"/>
    <x v="0"/>
  </r>
  <r>
    <n v="3060"/>
    <x v="5"/>
    <x v="1"/>
    <x v="1"/>
    <x v="0"/>
    <n v="71"/>
    <s v="Kentucky"/>
    <x v="0"/>
    <x v="1"/>
    <x v="1"/>
    <x v="4"/>
    <x v="1"/>
    <x v="0"/>
    <x v="1"/>
    <x v="1"/>
    <n v="42"/>
    <x v="2"/>
    <x v="3"/>
  </r>
  <r>
    <n v="3061"/>
    <x v="36"/>
    <x v="1"/>
    <x v="7"/>
    <x v="2"/>
    <n v="80"/>
    <s v="California"/>
    <x v="1"/>
    <x v="4"/>
    <x v="2"/>
    <x v="10"/>
    <x v="1"/>
    <x v="5"/>
    <x v="1"/>
    <x v="1"/>
    <n v="1"/>
    <x v="0"/>
    <x v="5"/>
  </r>
  <r>
    <n v="3062"/>
    <x v="23"/>
    <x v="1"/>
    <x v="17"/>
    <x v="0"/>
    <n v="59"/>
    <s v="South Dakota"/>
    <x v="0"/>
    <x v="8"/>
    <x v="3"/>
    <x v="9"/>
    <x v="1"/>
    <x v="0"/>
    <x v="1"/>
    <x v="1"/>
    <n v="20"/>
    <x v="3"/>
    <x v="6"/>
  </r>
  <r>
    <n v="3063"/>
    <x v="47"/>
    <x v="1"/>
    <x v="21"/>
    <x v="3"/>
    <n v="96"/>
    <s v="California"/>
    <x v="0"/>
    <x v="14"/>
    <x v="3"/>
    <x v="13"/>
    <x v="1"/>
    <x v="3"/>
    <x v="1"/>
    <x v="1"/>
    <n v="39"/>
    <x v="3"/>
    <x v="5"/>
  </r>
  <r>
    <n v="3064"/>
    <x v="8"/>
    <x v="1"/>
    <x v="12"/>
    <x v="3"/>
    <n v="43"/>
    <s v="Connecticut"/>
    <x v="0"/>
    <x v="18"/>
    <x v="0"/>
    <x v="20"/>
    <x v="1"/>
    <x v="5"/>
    <x v="1"/>
    <x v="1"/>
    <n v="24"/>
    <x v="2"/>
    <x v="0"/>
  </r>
  <r>
    <n v="3065"/>
    <x v="40"/>
    <x v="1"/>
    <x v="22"/>
    <x v="3"/>
    <n v="76"/>
    <s v="Idaho"/>
    <x v="1"/>
    <x v="17"/>
    <x v="0"/>
    <x v="15"/>
    <x v="1"/>
    <x v="0"/>
    <x v="1"/>
    <x v="1"/>
    <n v="49"/>
    <x v="4"/>
    <x v="3"/>
  </r>
  <r>
    <n v="3066"/>
    <x v="34"/>
    <x v="1"/>
    <x v="14"/>
    <x v="2"/>
    <n v="59"/>
    <s v="North Dakota"/>
    <x v="2"/>
    <x v="19"/>
    <x v="3"/>
    <x v="11"/>
    <x v="1"/>
    <x v="5"/>
    <x v="1"/>
    <x v="1"/>
    <n v="7"/>
    <x v="0"/>
    <x v="4"/>
  </r>
  <r>
    <n v="3067"/>
    <x v="44"/>
    <x v="1"/>
    <x v="11"/>
    <x v="0"/>
    <n v="48"/>
    <s v="Michigan"/>
    <x v="0"/>
    <x v="11"/>
    <x v="2"/>
    <x v="24"/>
    <x v="1"/>
    <x v="1"/>
    <x v="1"/>
    <x v="1"/>
    <n v="13"/>
    <x v="0"/>
    <x v="6"/>
  </r>
  <r>
    <n v="3068"/>
    <x v="27"/>
    <x v="1"/>
    <x v="22"/>
    <x v="3"/>
    <n v="22"/>
    <s v="Missouri"/>
    <x v="1"/>
    <x v="0"/>
    <x v="1"/>
    <x v="1"/>
    <x v="1"/>
    <x v="1"/>
    <x v="1"/>
    <x v="1"/>
    <n v="2"/>
    <x v="1"/>
    <x v="1"/>
  </r>
  <r>
    <n v="3069"/>
    <x v="45"/>
    <x v="1"/>
    <x v="23"/>
    <x v="1"/>
    <n v="40"/>
    <s v="California"/>
    <x v="2"/>
    <x v="21"/>
    <x v="0"/>
    <x v="19"/>
    <x v="1"/>
    <x v="0"/>
    <x v="1"/>
    <x v="1"/>
    <n v="4"/>
    <x v="5"/>
    <x v="1"/>
  </r>
  <r>
    <n v="3070"/>
    <x v="46"/>
    <x v="1"/>
    <x v="2"/>
    <x v="0"/>
    <n v="73"/>
    <s v="Delaware"/>
    <x v="0"/>
    <x v="23"/>
    <x v="1"/>
    <x v="12"/>
    <x v="1"/>
    <x v="0"/>
    <x v="1"/>
    <x v="1"/>
    <n v="17"/>
    <x v="5"/>
    <x v="3"/>
  </r>
  <r>
    <n v="3071"/>
    <x v="16"/>
    <x v="1"/>
    <x v="9"/>
    <x v="1"/>
    <n v="26"/>
    <s v="Alabama"/>
    <x v="3"/>
    <x v="16"/>
    <x v="3"/>
    <x v="5"/>
    <x v="1"/>
    <x v="1"/>
    <x v="1"/>
    <x v="1"/>
    <n v="43"/>
    <x v="3"/>
    <x v="4"/>
  </r>
  <r>
    <n v="3072"/>
    <x v="51"/>
    <x v="1"/>
    <x v="1"/>
    <x v="0"/>
    <n v="41"/>
    <s v="New Hampshire"/>
    <x v="0"/>
    <x v="2"/>
    <x v="1"/>
    <x v="23"/>
    <x v="1"/>
    <x v="2"/>
    <x v="1"/>
    <x v="1"/>
    <n v="6"/>
    <x v="3"/>
    <x v="5"/>
  </r>
  <r>
    <n v="3073"/>
    <x v="8"/>
    <x v="1"/>
    <x v="16"/>
    <x v="3"/>
    <n v="98"/>
    <s v="New York"/>
    <x v="0"/>
    <x v="15"/>
    <x v="1"/>
    <x v="0"/>
    <x v="1"/>
    <x v="3"/>
    <x v="1"/>
    <x v="1"/>
    <n v="46"/>
    <x v="3"/>
    <x v="3"/>
  </r>
  <r>
    <n v="3074"/>
    <x v="44"/>
    <x v="1"/>
    <x v="5"/>
    <x v="0"/>
    <n v="63"/>
    <s v="Oregon"/>
    <x v="0"/>
    <x v="3"/>
    <x v="0"/>
    <x v="15"/>
    <x v="1"/>
    <x v="1"/>
    <x v="1"/>
    <x v="1"/>
    <n v="7"/>
    <x v="5"/>
    <x v="4"/>
  </r>
  <r>
    <n v="3075"/>
    <x v="8"/>
    <x v="1"/>
    <x v="23"/>
    <x v="1"/>
    <n v="55"/>
    <s v="Massachusetts"/>
    <x v="0"/>
    <x v="1"/>
    <x v="0"/>
    <x v="19"/>
    <x v="1"/>
    <x v="2"/>
    <x v="1"/>
    <x v="1"/>
    <n v="34"/>
    <x v="5"/>
    <x v="0"/>
  </r>
  <r>
    <n v="3076"/>
    <x v="22"/>
    <x v="1"/>
    <x v="6"/>
    <x v="0"/>
    <n v="90"/>
    <s v="Utah"/>
    <x v="3"/>
    <x v="19"/>
    <x v="0"/>
    <x v="15"/>
    <x v="1"/>
    <x v="3"/>
    <x v="1"/>
    <x v="1"/>
    <n v="21"/>
    <x v="3"/>
    <x v="6"/>
  </r>
  <r>
    <n v="3077"/>
    <x v="17"/>
    <x v="1"/>
    <x v="8"/>
    <x v="3"/>
    <n v="46"/>
    <s v="New Hampshire"/>
    <x v="2"/>
    <x v="24"/>
    <x v="2"/>
    <x v="15"/>
    <x v="1"/>
    <x v="0"/>
    <x v="1"/>
    <x v="1"/>
    <n v="13"/>
    <x v="0"/>
    <x v="4"/>
  </r>
  <r>
    <n v="3078"/>
    <x v="52"/>
    <x v="1"/>
    <x v="1"/>
    <x v="0"/>
    <n v="88"/>
    <s v="Illinois"/>
    <x v="1"/>
    <x v="16"/>
    <x v="1"/>
    <x v="21"/>
    <x v="1"/>
    <x v="5"/>
    <x v="1"/>
    <x v="1"/>
    <n v="33"/>
    <x v="5"/>
    <x v="4"/>
  </r>
  <r>
    <n v="3079"/>
    <x v="45"/>
    <x v="1"/>
    <x v="22"/>
    <x v="3"/>
    <n v="95"/>
    <s v="Alaska"/>
    <x v="2"/>
    <x v="24"/>
    <x v="1"/>
    <x v="25"/>
    <x v="1"/>
    <x v="4"/>
    <x v="1"/>
    <x v="1"/>
    <n v="24"/>
    <x v="4"/>
    <x v="4"/>
  </r>
  <r>
    <n v="3080"/>
    <x v="39"/>
    <x v="1"/>
    <x v="22"/>
    <x v="3"/>
    <n v="31"/>
    <s v="Wyoming"/>
    <x v="2"/>
    <x v="1"/>
    <x v="3"/>
    <x v="17"/>
    <x v="1"/>
    <x v="5"/>
    <x v="1"/>
    <x v="1"/>
    <n v="4"/>
    <x v="4"/>
    <x v="2"/>
  </r>
  <r>
    <n v="3081"/>
    <x v="28"/>
    <x v="1"/>
    <x v="15"/>
    <x v="0"/>
    <n v="42"/>
    <s v="Colorado"/>
    <x v="0"/>
    <x v="22"/>
    <x v="1"/>
    <x v="7"/>
    <x v="1"/>
    <x v="2"/>
    <x v="1"/>
    <x v="1"/>
    <n v="5"/>
    <x v="1"/>
    <x v="4"/>
  </r>
  <r>
    <n v="3082"/>
    <x v="14"/>
    <x v="1"/>
    <x v="4"/>
    <x v="1"/>
    <n v="44"/>
    <s v="Vermont"/>
    <x v="0"/>
    <x v="6"/>
    <x v="0"/>
    <x v="8"/>
    <x v="1"/>
    <x v="2"/>
    <x v="1"/>
    <x v="1"/>
    <n v="11"/>
    <x v="2"/>
    <x v="1"/>
  </r>
  <r>
    <n v="3083"/>
    <x v="19"/>
    <x v="1"/>
    <x v="17"/>
    <x v="0"/>
    <n v="99"/>
    <s v="Utah"/>
    <x v="2"/>
    <x v="1"/>
    <x v="1"/>
    <x v="17"/>
    <x v="1"/>
    <x v="2"/>
    <x v="1"/>
    <x v="1"/>
    <n v="20"/>
    <x v="4"/>
    <x v="2"/>
  </r>
  <r>
    <n v="3084"/>
    <x v="40"/>
    <x v="1"/>
    <x v="13"/>
    <x v="0"/>
    <n v="20"/>
    <s v="Illinois"/>
    <x v="1"/>
    <x v="7"/>
    <x v="2"/>
    <x v="1"/>
    <x v="1"/>
    <x v="5"/>
    <x v="1"/>
    <x v="1"/>
    <n v="28"/>
    <x v="3"/>
    <x v="3"/>
  </r>
  <r>
    <n v="3085"/>
    <x v="5"/>
    <x v="1"/>
    <x v="18"/>
    <x v="3"/>
    <n v="37"/>
    <s v="Idaho"/>
    <x v="1"/>
    <x v="21"/>
    <x v="1"/>
    <x v="4"/>
    <x v="1"/>
    <x v="5"/>
    <x v="1"/>
    <x v="1"/>
    <n v="43"/>
    <x v="3"/>
    <x v="5"/>
  </r>
  <r>
    <n v="3086"/>
    <x v="41"/>
    <x v="1"/>
    <x v="1"/>
    <x v="0"/>
    <n v="50"/>
    <s v="Nevada"/>
    <x v="0"/>
    <x v="0"/>
    <x v="0"/>
    <x v="11"/>
    <x v="1"/>
    <x v="5"/>
    <x v="1"/>
    <x v="1"/>
    <n v="10"/>
    <x v="0"/>
    <x v="6"/>
  </r>
  <r>
    <n v="3087"/>
    <x v="36"/>
    <x v="1"/>
    <x v="8"/>
    <x v="3"/>
    <n v="73"/>
    <s v="Utah"/>
    <x v="2"/>
    <x v="12"/>
    <x v="2"/>
    <x v="1"/>
    <x v="1"/>
    <x v="2"/>
    <x v="1"/>
    <x v="1"/>
    <n v="26"/>
    <x v="0"/>
    <x v="6"/>
  </r>
  <r>
    <n v="3088"/>
    <x v="46"/>
    <x v="1"/>
    <x v="5"/>
    <x v="0"/>
    <n v="84"/>
    <s v="North Carolina"/>
    <x v="2"/>
    <x v="4"/>
    <x v="1"/>
    <x v="0"/>
    <x v="1"/>
    <x v="1"/>
    <x v="1"/>
    <x v="1"/>
    <n v="29"/>
    <x v="4"/>
    <x v="5"/>
  </r>
  <r>
    <n v="3089"/>
    <x v="50"/>
    <x v="1"/>
    <x v="10"/>
    <x v="0"/>
    <n v="64"/>
    <s v="Arkansas"/>
    <x v="2"/>
    <x v="11"/>
    <x v="1"/>
    <x v="13"/>
    <x v="1"/>
    <x v="5"/>
    <x v="1"/>
    <x v="1"/>
    <n v="35"/>
    <x v="4"/>
    <x v="3"/>
  </r>
  <r>
    <n v="3090"/>
    <x v="2"/>
    <x v="1"/>
    <x v="3"/>
    <x v="1"/>
    <n v="21"/>
    <s v="North Carolina"/>
    <x v="0"/>
    <x v="24"/>
    <x v="3"/>
    <x v="12"/>
    <x v="1"/>
    <x v="1"/>
    <x v="1"/>
    <x v="1"/>
    <n v="23"/>
    <x v="1"/>
    <x v="4"/>
  </r>
  <r>
    <n v="3091"/>
    <x v="26"/>
    <x v="1"/>
    <x v="5"/>
    <x v="0"/>
    <n v="36"/>
    <s v="Texas"/>
    <x v="2"/>
    <x v="15"/>
    <x v="2"/>
    <x v="8"/>
    <x v="1"/>
    <x v="5"/>
    <x v="1"/>
    <x v="1"/>
    <n v="15"/>
    <x v="4"/>
    <x v="3"/>
  </r>
  <r>
    <n v="3092"/>
    <x v="33"/>
    <x v="1"/>
    <x v="10"/>
    <x v="0"/>
    <n v="81"/>
    <s v="Nevada"/>
    <x v="0"/>
    <x v="20"/>
    <x v="0"/>
    <x v="23"/>
    <x v="1"/>
    <x v="4"/>
    <x v="1"/>
    <x v="1"/>
    <n v="46"/>
    <x v="2"/>
    <x v="2"/>
  </r>
  <r>
    <n v="3093"/>
    <x v="16"/>
    <x v="1"/>
    <x v="12"/>
    <x v="3"/>
    <n v="54"/>
    <s v="Utah"/>
    <x v="0"/>
    <x v="5"/>
    <x v="3"/>
    <x v="1"/>
    <x v="1"/>
    <x v="2"/>
    <x v="1"/>
    <x v="1"/>
    <n v="14"/>
    <x v="4"/>
    <x v="4"/>
  </r>
  <r>
    <n v="3094"/>
    <x v="26"/>
    <x v="1"/>
    <x v="20"/>
    <x v="0"/>
    <n v="63"/>
    <s v="Pennsylvania"/>
    <x v="0"/>
    <x v="16"/>
    <x v="2"/>
    <x v="6"/>
    <x v="1"/>
    <x v="5"/>
    <x v="1"/>
    <x v="1"/>
    <n v="17"/>
    <x v="1"/>
    <x v="6"/>
  </r>
  <r>
    <n v="3095"/>
    <x v="40"/>
    <x v="1"/>
    <x v="3"/>
    <x v="1"/>
    <n v="59"/>
    <s v="Georgia"/>
    <x v="2"/>
    <x v="0"/>
    <x v="2"/>
    <x v="2"/>
    <x v="1"/>
    <x v="5"/>
    <x v="1"/>
    <x v="1"/>
    <n v="9"/>
    <x v="1"/>
    <x v="1"/>
  </r>
  <r>
    <n v="3096"/>
    <x v="46"/>
    <x v="1"/>
    <x v="19"/>
    <x v="3"/>
    <n v="53"/>
    <s v="Minnesota"/>
    <x v="1"/>
    <x v="19"/>
    <x v="3"/>
    <x v="23"/>
    <x v="1"/>
    <x v="3"/>
    <x v="1"/>
    <x v="1"/>
    <n v="13"/>
    <x v="0"/>
    <x v="0"/>
  </r>
  <r>
    <n v="3097"/>
    <x v="28"/>
    <x v="1"/>
    <x v="5"/>
    <x v="0"/>
    <n v="63"/>
    <s v="Kansas"/>
    <x v="0"/>
    <x v="3"/>
    <x v="0"/>
    <x v="1"/>
    <x v="1"/>
    <x v="2"/>
    <x v="1"/>
    <x v="1"/>
    <n v="20"/>
    <x v="4"/>
    <x v="5"/>
  </r>
  <r>
    <n v="3098"/>
    <x v="39"/>
    <x v="1"/>
    <x v="9"/>
    <x v="1"/>
    <n v="33"/>
    <s v="Delaware"/>
    <x v="2"/>
    <x v="5"/>
    <x v="3"/>
    <x v="18"/>
    <x v="1"/>
    <x v="1"/>
    <x v="1"/>
    <x v="1"/>
    <n v="39"/>
    <x v="4"/>
    <x v="3"/>
  </r>
  <r>
    <n v="3099"/>
    <x v="17"/>
    <x v="1"/>
    <x v="13"/>
    <x v="0"/>
    <n v="64"/>
    <s v="New Mexico"/>
    <x v="0"/>
    <x v="17"/>
    <x v="2"/>
    <x v="13"/>
    <x v="1"/>
    <x v="2"/>
    <x v="1"/>
    <x v="1"/>
    <n v="50"/>
    <x v="4"/>
    <x v="3"/>
  </r>
  <r>
    <n v="3100"/>
    <x v="32"/>
    <x v="1"/>
    <x v="5"/>
    <x v="0"/>
    <n v="98"/>
    <s v="Michigan"/>
    <x v="1"/>
    <x v="1"/>
    <x v="3"/>
    <x v="3"/>
    <x v="1"/>
    <x v="1"/>
    <x v="1"/>
    <x v="1"/>
    <n v="21"/>
    <x v="4"/>
    <x v="4"/>
  </r>
  <r>
    <n v="3101"/>
    <x v="2"/>
    <x v="1"/>
    <x v="19"/>
    <x v="3"/>
    <n v="85"/>
    <s v="Vermont"/>
    <x v="0"/>
    <x v="7"/>
    <x v="0"/>
    <x v="20"/>
    <x v="1"/>
    <x v="0"/>
    <x v="1"/>
    <x v="1"/>
    <n v="3"/>
    <x v="4"/>
    <x v="1"/>
  </r>
  <r>
    <n v="3102"/>
    <x v="45"/>
    <x v="1"/>
    <x v="16"/>
    <x v="3"/>
    <n v="82"/>
    <s v="Idaho"/>
    <x v="1"/>
    <x v="18"/>
    <x v="2"/>
    <x v="2"/>
    <x v="1"/>
    <x v="0"/>
    <x v="1"/>
    <x v="1"/>
    <n v="9"/>
    <x v="3"/>
    <x v="0"/>
  </r>
  <r>
    <n v="3103"/>
    <x v="47"/>
    <x v="1"/>
    <x v="14"/>
    <x v="2"/>
    <n v="85"/>
    <s v="South Dakota"/>
    <x v="2"/>
    <x v="14"/>
    <x v="2"/>
    <x v="24"/>
    <x v="1"/>
    <x v="3"/>
    <x v="1"/>
    <x v="1"/>
    <n v="29"/>
    <x v="1"/>
    <x v="4"/>
  </r>
  <r>
    <n v="3104"/>
    <x v="7"/>
    <x v="1"/>
    <x v="5"/>
    <x v="0"/>
    <n v="37"/>
    <s v="Illinois"/>
    <x v="1"/>
    <x v="15"/>
    <x v="0"/>
    <x v="21"/>
    <x v="1"/>
    <x v="4"/>
    <x v="1"/>
    <x v="1"/>
    <n v="42"/>
    <x v="4"/>
    <x v="1"/>
  </r>
  <r>
    <n v="3105"/>
    <x v="49"/>
    <x v="1"/>
    <x v="13"/>
    <x v="0"/>
    <n v="56"/>
    <s v="Georgia"/>
    <x v="1"/>
    <x v="2"/>
    <x v="2"/>
    <x v="16"/>
    <x v="1"/>
    <x v="4"/>
    <x v="1"/>
    <x v="1"/>
    <n v="41"/>
    <x v="5"/>
    <x v="0"/>
  </r>
  <r>
    <n v="3106"/>
    <x v="39"/>
    <x v="1"/>
    <x v="11"/>
    <x v="0"/>
    <n v="33"/>
    <s v="Oregon"/>
    <x v="2"/>
    <x v="8"/>
    <x v="3"/>
    <x v="2"/>
    <x v="1"/>
    <x v="0"/>
    <x v="1"/>
    <x v="1"/>
    <n v="17"/>
    <x v="5"/>
    <x v="5"/>
  </r>
  <r>
    <n v="3107"/>
    <x v="46"/>
    <x v="1"/>
    <x v="3"/>
    <x v="1"/>
    <n v="57"/>
    <s v="Alabama"/>
    <x v="2"/>
    <x v="22"/>
    <x v="0"/>
    <x v="10"/>
    <x v="1"/>
    <x v="2"/>
    <x v="1"/>
    <x v="1"/>
    <n v="20"/>
    <x v="3"/>
    <x v="2"/>
  </r>
  <r>
    <n v="3108"/>
    <x v="13"/>
    <x v="1"/>
    <x v="0"/>
    <x v="0"/>
    <n v="31"/>
    <s v="Hawaii"/>
    <x v="0"/>
    <x v="0"/>
    <x v="0"/>
    <x v="12"/>
    <x v="1"/>
    <x v="3"/>
    <x v="1"/>
    <x v="1"/>
    <n v="18"/>
    <x v="2"/>
    <x v="4"/>
  </r>
  <r>
    <n v="3109"/>
    <x v="2"/>
    <x v="1"/>
    <x v="20"/>
    <x v="0"/>
    <n v="69"/>
    <s v="Oregon"/>
    <x v="2"/>
    <x v="7"/>
    <x v="3"/>
    <x v="4"/>
    <x v="1"/>
    <x v="4"/>
    <x v="1"/>
    <x v="1"/>
    <n v="7"/>
    <x v="3"/>
    <x v="5"/>
  </r>
  <r>
    <n v="3110"/>
    <x v="52"/>
    <x v="1"/>
    <x v="14"/>
    <x v="2"/>
    <n v="92"/>
    <s v="Illinois"/>
    <x v="2"/>
    <x v="0"/>
    <x v="0"/>
    <x v="24"/>
    <x v="1"/>
    <x v="1"/>
    <x v="1"/>
    <x v="1"/>
    <n v="47"/>
    <x v="4"/>
    <x v="0"/>
  </r>
  <r>
    <n v="3111"/>
    <x v="1"/>
    <x v="1"/>
    <x v="8"/>
    <x v="3"/>
    <n v="46"/>
    <s v="Texas"/>
    <x v="0"/>
    <x v="12"/>
    <x v="3"/>
    <x v="12"/>
    <x v="1"/>
    <x v="2"/>
    <x v="1"/>
    <x v="1"/>
    <n v="2"/>
    <x v="4"/>
    <x v="4"/>
  </r>
  <r>
    <n v="3112"/>
    <x v="3"/>
    <x v="1"/>
    <x v="22"/>
    <x v="3"/>
    <n v="81"/>
    <s v="Kansas"/>
    <x v="3"/>
    <x v="21"/>
    <x v="1"/>
    <x v="8"/>
    <x v="1"/>
    <x v="1"/>
    <x v="1"/>
    <x v="1"/>
    <n v="25"/>
    <x v="5"/>
    <x v="3"/>
  </r>
  <r>
    <n v="3113"/>
    <x v="1"/>
    <x v="1"/>
    <x v="0"/>
    <x v="0"/>
    <n v="97"/>
    <s v="Texas"/>
    <x v="1"/>
    <x v="14"/>
    <x v="3"/>
    <x v="22"/>
    <x v="1"/>
    <x v="0"/>
    <x v="1"/>
    <x v="1"/>
    <n v="26"/>
    <x v="0"/>
    <x v="2"/>
  </r>
  <r>
    <n v="3114"/>
    <x v="5"/>
    <x v="1"/>
    <x v="5"/>
    <x v="0"/>
    <n v="93"/>
    <s v="Nebraska"/>
    <x v="0"/>
    <x v="14"/>
    <x v="2"/>
    <x v="5"/>
    <x v="1"/>
    <x v="0"/>
    <x v="1"/>
    <x v="1"/>
    <n v="2"/>
    <x v="5"/>
    <x v="1"/>
  </r>
  <r>
    <n v="3115"/>
    <x v="3"/>
    <x v="1"/>
    <x v="8"/>
    <x v="3"/>
    <n v="56"/>
    <s v="Arkansas"/>
    <x v="2"/>
    <x v="8"/>
    <x v="1"/>
    <x v="10"/>
    <x v="1"/>
    <x v="5"/>
    <x v="1"/>
    <x v="1"/>
    <n v="45"/>
    <x v="0"/>
    <x v="4"/>
  </r>
  <r>
    <n v="3116"/>
    <x v="8"/>
    <x v="1"/>
    <x v="18"/>
    <x v="3"/>
    <n v="53"/>
    <s v="South Dakota"/>
    <x v="2"/>
    <x v="4"/>
    <x v="3"/>
    <x v="7"/>
    <x v="1"/>
    <x v="1"/>
    <x v="1"/>
    <x v="1"/>
    <n v="9"/>
    <x v="4"/>
    <x v="4"/>
  </r>
  <r>
    <n v="3117"/>
    <x v="2"/>
    <x v="1"/>
    <x v="7"/>
    <x v="2"/>
    <n v="66"/>
    <s v="Montana"/>
    <x v="0"/>
    <x v="0"/>
    <x v="1"/>
    <x v="18"/>
    <x v="1"/>
    <x v="5"/>
    <x v="1"/>
    <x v="1"/>
    <n v="1"/>
    <x v="0"/>
    <x v="1"/>
  </r>
  <r>
    <n v="3118"/>
    <x v="49"/>
    <x v="1"/>
    <x v="15"/>
    <x v="0"/>
    <n v="50"/>
    <s v="Florida"/>
    <x v="2"/>
    <x v="8"/>
    <x v="3"/>
    <x v="21"/>
    <x v="1"/>
    <x v="1"/>
    <x v="1"/>
    <x v="1"/>
    <n v="4"/>
    <x v="3"/>
    <x v="4"/>
  </r>
  <r>
    <n v="3119"/>
    <x v="12"/>
    <x v="1"/>
    <x v="6"/>
    <x v="0"/>
    <n v="97"/>
    <s v="Virginia"/>
    <x v="0"/>
    <x v="24"/>
    <x v="2"/>
    <x v="10"/>
    <x v="1"/>
    <x v="3"/>
    <x v="1"/>
    <x v="1"/>
    <n v="31"/>
    <x v="5"/>
    <x v="3"/>
  </r>
  <r>
    <n v="3120"/>
    <x v="6"/>
    <x v="1"/>
    <x v="3"/>
    <x v="1"/>
    <n v="79"/>
    <s v="Louisiana"/>
    <x v="3"/>
    <x v="5"/>
    <x v="0"/>
    <x v="10"/>
    <x v="1"/>
    <x v="4"/>
    <x v="1"/>
    <x v="1"/>
    <n v="21"/>
    <x v="2"/>
    <x v="6"/>
  </r>
  <r>
    <n v="3121"/>
    <x v="5"/>
    <x v="1"/>
    <x v="5"/>
    <x v="0"/>
    <n v="76"/>
    <s v="Louisiana"/>
    <x v="2"/>
    <x v="23"/>
    <x v="3"/>
    <x v="17"/>
    <x v="1"/>
    <x v="5"/>
    <x v="1"/>
    <x v="1"/>
    <n v="32"/>
    <x v="5"/>
    <x v="0"/>
  </r>
  <r>
    <n v="3122"/>
    <x v="6"/>
    <x v="1"/>
    <x v="15"/>
    <x v="0"/>
    <n v="38"/>
    <s v="Louisiana"/>
    <x v="0"/>
    <x v="13"/>
    <x v="3"/>
    <x v="5"/>
    <x v="1"/>
    <x v="3"/>
    <x v="1"/>
    <x v="1"/>
    <n v="16"/>
    <x v="0"/>
    <x v="1"/>
  </r>
  <r>
    <n v="3123"/>
    <x v="51"/>
    <x v="1"/>
    <x v="20"/>
    <x v="0"/>
    <n v="45"/>
    <s v="Georgia"/>
    <x v="2"/>
    <x v="6"/>
    <x v="3"/>
    <x v="21"/>
    <x v="1"/>
    <x v="0"/>
    <x v="1"/>
    <x v="1"/>
    <n v="34"/>
    <x v="2"/>
    <x v="0"/>
  </r>
  <r>
    <n v="3124"/>
    <x v="9"/>
    <x v="1"/>
    <x v="8"/>
    <x v="3"/>
    <n v="77"/>
    <s v="Iowa"/>
    <x v="3"/>
    <x v="16"/>
    <x v="3"/>
    <x v="13"/>
    <x v="1"/>
    <x v="2"/>
    <x v="1"/>
    <x v="1"/>
    <n v="40"/>
    <x v="0"/>
    <x v="4"/>
  </r>
  <r>
    <n v="3125"/>
    <x v="9"/>
    <x v="1"/>
    <x v="16"/>
    <x v="3"/>
    <n v="51"/>
    <s v="California"/>
    <x v="2"/>
    <x v="15"/>
    <x v="2"/>
    <x v="23"/>
    <x v="1"/>
    <x v="3"/>
    <x v="1"/>
    <x v="1"/>
    <n v="4"/>
    <x v="1"/>
    <x v="6"/>
  </r>
  <r>
    <n v="3126"/>
    <x v="23"/>
    <x v="1"/>
    <x v="7"/>
    <x v="2"/>
    <n v="26"/>
    <s v="Oregon"/>
    <x v="0"/>
    <x v="12"/>
    <x v="1"/>
    <x v="17"/>
    <x v="1"/>
    <x v="3"/>
    <x v="1"/>
    <x v="1"/>
    <n v="3"/>
    <x v="1"/>
    <x v="3"/>
  </r>
  <r>
    <n v="3127"/>
    <x v="9"/>
    <x v="1"/>
    <x v="12"/>
    <x v="3"/>
    <n v="76"/>
    <s v="Maine"/>
    <x v="0"/>
    <x v="12"/>
    <x v="0"/>
    <x v="5"/>
    <x v="1"/>
    <x v="5"/>
    <x v="1"/>
    <x v="1"/>
    <n v="28"/>
    <x v="4"/>
    <x v="4"/>
  </r>
  <r>
    <n v="3128"/>
    <x v="0"/>
    <x v="1"/>
    <x v="24"/>
    <x v="3"/>
    <n v="94"/>
    <s v="Louisiana"/>
    <x v="2"/>
    <x v="19"/>
    <x v="0"/>
    <x v="23"/>
    <x v="1"/>
    <x v="1"/>
    <x v="1"/>
    <x v="1"/>
    <n v="43"/>
    <x v="2"/>
    <x v="6"/>
  </r>
  <r>
    <n v="3129"/>
    <x v="13"/>
    <x v="1"/>
    <x v="14"/>
    <x v="2"/>
    <n v="32"/>
    <s v="Arkansas"/>
    <x v="1"/>
    <x v="21"/>
    <x v="3"/>
    <x v="14"/>
    <x v="1"/>
    <x v="3"/>
    <x v="1"/>
    <x v="1"/>
    <n v="20"/>
    <x v="1"/>
    <x v="2"/>
  </r>
  <r>
    <n v="3130"/>
    <x v="52"/>
    <x v="1"/>
    <x v="3"/>
    <x v="1"/>
    <n v="20"/>
    <s v="Maryland"/>
    <x v="1"/>
    <x v="17"/>
    <x v="2"/>
    <x v="10"/>
    <x v="1"/>
    <x v="0"/>
    <x v="1"/>
    <x v="1"/>
    <n v="40"/>
    <x v="0"/>
    <x v="6"/>
  </r>
  <r>
    <n v="3131"/>
    <x v="16"/>
    <x v="1"/>
    <x v="13"/>
    <x v="0"/>
    <n v="20"/>
    <s v="Vermont"/>
    <x v="2"/>
    <x v="22"/>
    <x v="2"/>
    <x v="9"/>
    <x v="1"/>
    <x v="5"/>
    <x v="1"/>
    <x v="1"/>
    <n v="34"/>
    <x v="0"/>
    <x v="6"/>
  </r>
  <r>
    <n v="3132"/>
    <x v="50"/>
    <x v="1"/>
    <x v="14"/>
    <x v="2"/>
    <n v="59"/>
    <s v="North Dakota"/>
    <x v="2"/>
    <x v="15"/>
    <x v="3"/>
    <x v="3"/>
    <x v="1"/>
    <x v="5"/>
    <x v="1"/>
    <x v="1"/>
    <n v="11"/>
    <x v="4"/>
    <x v="6"/>
  </r>
  <r>
    <n v="3133"/>
    <x v="23"/>
    <x v="1"/>
    <x v="1"/>
    <x v="0"/>
    <n v="97"/>
    <s v="Michigan"/>
    <x v="2"/>
    <x v="22"/>
    <x v="2"/>
    <x v="19"/>
    <x v="1"/>
    <x v="0"/>
    <x v="1"/>
    <x v="1"/>
    <n v="26"/>
    <x v="1"/>
    <x v="3"/>
  </r>
  <r>
    <n v="3134"/>
    <x v="44"/>
    <x v="1"/>
    <x v="17"/>
    <x v="0"/>
    <n v="68"/>
    <s v="Arkansas"/>
    <x v="2"/>
    <x v="20"/>
    <x v="1"/>
    <x v="7"/>
    <x v="1"/>
    <x v="2"/>
    <x v="1"/>
    <x v="1"/>
    <n v="29"/>
    <x v="1"/>
    <x v="4"/>
  </r>
  <r>
    <n v="3135"/>
    <x v="25"/>
    <x v="1"/>
    <x v="23"/>
    <x v="1"/>
    <n v="66"/>
    <s v="Kentucky"/>
    <x v="0"/>
    <x v="0"/>
    <x v="1"/>
    <x v="14"/>
    <x v="1"/>
    <x v="5"/>
    <x v="1"/>
    <x v="1"/>
    <n v="47"/>
    <x v="4"/>
    <x v="1"/>
  </r>
  <r>
    <n v="3136"/>
    <x v="33"/>
    <x v="1"/>
    <x v="9"/>
    <x v="1"/>
    <n v="85"/>
    <s v="Indiana"/>
    <x v="0"/>
    <x v="22"/>
    <x v="1"/>
    <x v="10"/>
    <x v="1"/>
    <x v="1"/>
    <x v="1"/>
    <x v="1"/>
    <n v="48"/>
    <x v="0"/>
    <x v="0"/>
  </r>
  <r>
    <n v="3137"/>
    <x v="44"/>
    <x v="1"/>
    <x v="11"/>
    <x v="0"/>
    <n v="32"/>
    <s v="Minnesota"/>
    <x v="2"/>
    <x v="0"/>
    <x v="3"/>
    <x v="0"/>
    <x v="1"/>
    <x v="2"/>
    <x v="1"/>
    <x v="1"/>
    <n v="29"/>
    <x v="1"/>
    <x v="4"/>
  </r>
  <r>
    <n v="3138"/>
    <x v="50"/>
    <x v="1"/>
    <x v="7"/>
    <x v="2"/>
    <n v="44"/>
    <s v="Louisiana"/>
    <x v="2"/>
    <x v="2"/>
    <x v="1"/>
    <x v="2"/>
    <x v="1"/>
    <x v="4"/>
    <x v="1"/>
    <x v="1"/>
    <n v="14"/>
    <x v="4"/>
    <x v="5"/>
  </r>
  <r>
    <n v="3139"/>
    <x v="36"/>
    <x v="1"/>
    <x v="0"/>
    <x v="0"/>
    <n v="95"/>
    <s v="Kentucky"/>
    <x v="0"/>
    <x v="0"/>
    <x v="3"/>
    <x v="12"/>
    <x v="1"/>
    <x v="2"/>
    <x v="1"/>
    <x v="1"/>
    <n v="40"/>
    <x v="1"/>
    <x v="6"/>
  </r>
  <r>
    <n v="3140"/>
    <x v="25"/>
    <x v="1"/>
    <x v="12"/>
    <x v="3"/>
    <n v="85"/>
    <s v="Georgia"/>
    <x v="2"/>
    <x v="8"/>
    <x v="0"/>
    <x v="14"/>
    <x v="1"/>
    <x v="2"/>
    <x v="1"/>
    <x v="1"/>
    <n v="4"/>
    <x v="0"/>
    <x v="1"/>
  </r>
  <r>
    <n v="3141"/>
    <x v="50"/>
    <x v="1"/>
    <x v="24"/>
    <x v="3"/>
    <n v="44"/>
    <s v="Alaska"/>
    <x v="3"/>
    <x v="15"/>
    <x v="2"/>
    <x v="12"/>
    <x v="1"/>
    <x v="1"/>
    <x v="1"/>
    <x v="1"/>
    <n v="37"/>
    <x v="4"/>
    <x v="1"/>
  </r>
  <r>
    <n v="3142"/>
    <x v="24"/>
    <x v="1"/>
    <x v="12"/>
    <x v="3"/>
    <n v="30"/>
    <s v="Mississippi"/>
    <x v="1"/>
    <x v="15"/>
    <x v="0"/>
    <x v="8"/>
    <x v="1"/>
    <x v="0"/>
    <x v="1"/>
    <x v="1"/>
    <n v="47"/>
    <x v="2"/>
    <x v="4"/>
  </r>
  <r>
    <n v="3143"/>
    <x v="51"/>
    <x v="1"/>
    <x v="4"/>
    <x v="1"/>
    <n v="21"/>
    <s v="Kansas"/>
    <x v="0"/>
    <x v="23"/>
    <x v="0"/>
    <x v="17"/>
    <x v="1"/>
    <x v="4"/>
    <x v="1"/>
    <x v="1"/>
    <n v="1"/>
    <x v="0"/>
    <x v="3"/>
  </r>
  <r>
    <n v="3144"/>
    <x v="33"/>
    <x v="1"/>
    <x v="15"/>
    <x v="0"/>
    <n v="22"/>
    <s v="Arizona"/>
    <x v="2"/>
    <x v="7"/>
    <x v="2"/>
    <x v="3"/>
    <x v="1"/>
    <x v="5"/>
    <x v="1"/>
    <x v="1"/>
    <n v="26"/>
    <x v="1"/>
    <x v="3"/>
  </r>
  <r>
    <n v="3145"/>
    <x v="51"/>
    <x v="1"/>
    <x v="23"/>
    <x v="1"/>
    <n v="70"/>
    <s v="Maine"/>
    <x v="0"/>
    <x v="19"/>
    <x v="1"/>
    <x v="5"/>
    <x v="1"/>
    <x v="1"/>
    <x v="1"/>
    <x v="1"/>
    <n v="12"/>
    <x v="5"/>
    <x v="3"/>
  </r>
  <r>
    <n v="3146"/>
    <x v="9"/>
    <x v="1"/>
    <x v="8"/>
    <x v="3"/>
    <n v="29"/>
    <s v="Texas"/>
    <x v="3"/>
    <x v="7"/>
    <x v="1"/>
    <x v="12"/>
    <x v="1"/>
    <x v="3"/>
    <x v="1"/>
    <x v="1"/>
    <n v="16"/>
    <x v="3"/>
    <x v="0"/>
  </r>
  <r>
    <n v="3147"/>
    <x v="3"/>
    <x v="1"/>
    <x v="5"/>
    <x v="0"/>
    <n v="83"/>
    <s v="Virginia"/>
    <x v="1"/>
    <x v="22"/>
    <x v="0"/>
    <x v="8"/>
    <x v="1"/>
    <x v="1"/>
    <x v="1"/>
    <x v="1"/>
    <n v="19"/>
    <x v="3"/>
    <x v="2"/>
  </r>
  <r>
    <n v="3148"/>
    <x v="4"/>
    <x v="1"/>
    <x v="1"/>
    <x v="0"/>
    <n v="99"/>
    <s v="North Dakota"/>
    <x v="2"/>
    <x v="6"/>
    <x v="0"/>
    <x v="24"/>
    <x v="1"/>
    <x v="0"/>
    <x v="1"/>
    <x v="1"/>
    <n v="21"/>
    <x v="2"/>
    <x v="1"/>
  </r>
  <r>
    <n v="3149"/>
    <x v="43"/>
    <x v="1"/>
    <x v="6"/>
    <x v="0"/>
    <n v="35"/>
    <s v="West Virginia"/>
    <x v="0"/>
    <x v="7"/>
    <x v="3"/>
    <x v="24"/>
    <x v="1"/>
    <x v="1"/>
    <x v="1"/>
    <x v="1"/>
    <n v="15"/>
    <x v="0"/>
    <x v="1"/>
  </r>
  <r>
    <n v="3150"/>
    <x v="20"/>
    <x v="1"/>
    <x v="22"/>
    <x v="3"/>
    <n v="40"/>
    <s v="North Carolina"/>
    <x v="2"/>
    <x v="12"/>
    <x v="0"/>
    <x v="12"/>
    <x v="1"/>
    <x v="1"/>
    <x v="1"/>
    <x v="1"/>
    <n v="9"/>
    <x v="0"/>
    <x v="2"/>
  </r>
  <r>
    <n v="3151"/>
    <x v="0"/>
    <x v="1"/>
    <x v="0"/>
    <x v="0"/>
    <n v="25"/>
    <s v="Georgia"/>
    <x v="2"/>
    <x v="15"/>
    <x v="1"/>
    <x v="5"/>
    <x v="1"/>
    <x v="0"/>
    <x v="1"/>
    <x v="1"/>
    <n v="7"/>
    <x v="4"/>
    <x v="4"/>
  </r>
  <r>
    <n v="3152"/>
    <x v="16"/>
    <x v="1"/>
    <x v="17"/>
    <x v="0"/>
    <n v="64"/>
    <s v="New Mexico"/>
    <x v="0"/>
    <x v="20"/>
    <x v="3"/>
    <x v="0"/>
    <x v="1"/>
    <x v="4"/>
    <x v="1"/>
    <x v="1"/>
    <n v="47"/>
    <x v="4"/>
    <x v="3"/>
  </r>
  <r>
    <n v="3153"/>
    <x v="34"/>
    <x v="1"/>
    <x v="22"/>
    <x v="3"/>
    <n v="90"/>
    <s v="North Carolina"/>
    <x v="2"/>
    <x v="16"/>
    <x v="3"/>
    <x v="0"/>
    <x v="1"/>
    <x v="5"/>
    <x v="1"/>
    <x v="1"/>
    <n v="17"/>
    <x v="3"/>
    <x v="5"/>
  </r>
  <r>
    <n v="3154"/>
    <x v="19"/>
    <x v="1"/>
    <x v="20"/>
    <x v="0"/>
    <n v="88"/>
    <s v="Alabama"/>
    <x v="0"/>
    <x v="16"/>
    <x v="3"/>
    <x v="0"/>
    <x v="1"/>
    <x v="2"/>
    <x v="1"/>
    <x v="1"/>
    <n v="46"/>
    <x v="0"/>
    <x v="0"/>
  </r>
  <r>
    <n v="3155"/>
    <x v="7"/>
    <x v="1"/>
    <x v="22"/>
    <x v="3"/>
    <n v="55"/>
    <s v="Connecticut"/>
    <x v="2"/>
    <x v="9"/>
    <x v="0"/>
    <x v="14"/>
    <x v="1"/>
    <x v="3"/>
    <x v="1"/>
    <x v="1"/>
    <n v="32"/>
    <x v="1"/>
    <x v="3"/>
  </r>
  <r>
    <n v="3156"/>
    <x v="40"/>
    <x v="1"/>
    <x v="8"/>
    <x v="3"/>
    <n v="90"/>
    <s v="Montana"/>
    <x v="2"/>
    <x v="18"/>
    <x v="3"/>
    <x v="24"/>
    <x v="1"/>
    <x v="1"/>
    <x v="1"/>
    <x v="1"/>
    <n v="34"/>
    <x v="1"/>
    <x v="2"/>
  </r>
  <r>
    <n v="3157"/>
    <x v="20"/>
    <x v="1"/>
    <x v="5"/>
    <x v="0"/>
    <n v="50"/>
    <s v="Montana"/>
    <x v="2"/>
    <x v="13"/>
    <x v="0"/>
    <x v="0"/>
    <x v="1"/>
    <x v="4"/>
    <x v="1"/>
    <x v="1"/>
    <n v="18"/>
    <x v="1"/>
    <x v="5"/>
  </r>
  <r>
    <n v="3158"/>
    <x v="3"/>
    <x v="1"/>
    <x v="22"/>
    <x v="3"/>
    <n v="34"/>
    <s v="Maine"/>
    <x v="0"/>
    <x v="16"/>
    <x v="3"/>
    <x v="0"/>
    <x v="1"/>
    <x v="5"/>
    <x v="1"/>
    <x v="1"/>
    <n v="5"/>
    <x v="5"/>
    <x v="0"/>
  </r>
  <r>
    <n v="3159"/>
    <x v="11"/>
    <x v="1"/>
    <x v="16"/>
    <x v="3"/>
    <n v="77"/>
    <s v="Mississippi"/>
    <x v="2"/>
    <x v="0"/>
    <x v="0"/>
    <x v="8"/>
    <x v="1"/>
    <x v="4"/>
    <x v="1"/>
    <x v="1"/>
    <n v="44"/>
    <x v="2"/>
    <x v="5"/>
  </r>
  <r>
    <n v="3160"/>
    <x v="46"/>
    <x v="1"/>
    <x v="19"/>
    <x v="3"/>
    <n v="89"/>
    <s v="Louisiana"/>
    <x v="0"/>
    <x v="6"/>
    <x v="0"/>
    <x v="3"/>
    <x v="1"/>
    <x v="5"/>
    <x v="1"/>
    <x v="1"/>
    <n v="4"/>
    <x v="4"/>
    <x v="3"/>
  </r>
  <r>
    <n v="3161"/>
    <x v="48"/>
    <x v="1"/>
    <x v="21"/>
    <x v="3"/>
    <n v="87"/>
    <s v="Nebraska"/>
    <x v="3"/>
    <x v="2"/>
    <x v="3"/>
    <x v="22"/>
    <x v="1"/>
    <x v="2"/>
    <x v="1"/>
    <x v="1"/>
    <n v="37"/>
    <x v="1"/>
    <x v="0"/>
  </r>
  <r>
    <n v="3162"/>
    <x v="17"/>
    <x v="1"/>
    <x v="10"/>
    <x v="0"/>
    <n v="77"/>
    <s v="Massachusetts"/>
    <x v="1"/>
    <x v="4"/>
    <x v="0"/>
    <x v="19"/>
    <x v="1"/>
    <x v="4"/>
    <x v="1"/>
    <x v="1"/>
    <n v="43"/>
    <x v="1"/>
    <x v="5"/>
  </r>
  <r>
    <n v="3163"/>
    <x v="17"/>
    <x v="1"/>
    <x v="9"/>
    <x v="1"/>
    <n v="85"/>
    <s v="Wisconsin"/>
    <x v="0"/>
    <x v="24"/>
    <x v="0"/>
    <x v="20"/>
    <x v="1"/>
    <x v="3"/>
    <x v="1"/>
    <x v="1"/>
    <n v="28"/>
    <x v="4"/>
    <x v="3"/>
  </r>
  <r>
    <n v="3164"/>
    <x v="34"/>
    <x v="1"/>
    <x v="13"/>
    <x v="0"/>
    <n v="66"/>
    <s v="Nebraska"/>
    <x v="3"/>
    <x v="2"/>
    <x v="2"/>
    <x v="11"/>
    <x v="1"/>
    <x v="0"/>
    <x v="1"/>
    <x v="1"/>
    <n v="36"/>
    <x v="1"/>
    <x v="5"/>
  </r>
  <r>
    <n v="3165"/>
    <x v="37"/>
    <x v="1"/>
    <x v="10"/>
    <x v="0"/>
    <n v="32"/>
    <s v="Arizona"/>
    <x v="0"/>
    <x v="5"/>
    <x v="0"/>
    <x v="5"/>
    <x v="1"/>
    <x v="3"/>
    <x v="1"/>
    <x v="1"/>
    <n v="16"/>
    <x v="2"/>
    <x v="2"/>
  </r>
  <r>
    <n v="3166"/>
    <x v="34"/>
    <x v="1"/>
    <x v="14"/>
    <x v="2"/>
    <n v="92"/>
    <s v="Hawaii"/>
    <x v="2"/>
    <x v="12"/>
    <x v="1"/>
    <x v="21"/>
    <x v="1"/>
    <x v="5"/>
    <x v="1"/>
    <x v="1"/>
    <n v="38"/>
    <x v="4"/>
    <x v="6"/>
  </r>
  <r>
    <n v="3167"/>
    <x v="1"/>
    <x v="1"/>
    <x v="5"/>
    <x v="0"/>
    <n v="80"/>
    <s v="Georgia"/>
    <x v="2"/>
    <x v="9"/>
    <x v="0"/>
    <x v="2"/>
    <x v="1"/>
    <x v="2"/>
    <x v="1"/>
    <x v="1"/>
    <n v="37"/>
    <x v="4"/>
    <x v="0"/>
  </r>
  <r>
    <n v="3168"/>
    <x v="41"/>
    <x v="1"/>
    <x v="10"/>
    <x v="0"/>
    <n v="78"/>
    <s v="Oregon"/>
    <x v="2"/>
    <x v="24"/>
    <x v="3"/>
    <x v="11"/>
    <x v="1"/>
    <x v="4"/>
    <x v="1"/>
    <x v="1"/>
    <n v="9"/>
    <x v="1"/>
    <x v="4"/>
  </r>
  <r>
    <n v="3169"/>
    <x v="18"/>
    <x v="1"/>
    <x v="2"/>
    <x v="0"/>
    <n v="24"/>
    <s v="Montana"/>
    <x v="2"/>
    <x v="20"/>
    <x v="1"/>
    <x v="3"/>
    <x v="1"/>
    <x v="4"/>
    <x v="1"/>
    <x v="1"/>
    <n v="14"/>
    <x v="3"/>
    <x v="0"/>
  </r>
  <r>
    <n v="3170"/>
    <x v="25"/>
    <x v="1"/>
    <x v="17"/>
    <x v="0"/>
    <n v="59"/>
    <s v="Georgia"/>
    <x v="2"/>
    <x v="3"/>
    <x v="3"/>
    <x v="22"/>
    <x v="1"/>
    <x v="1"/>
    <x v="1"/>
    <x v="1"/>
    <n v="3"/>
    <x v="0"/>
    <x v="1"/>
  </r>
  <r>
    <n v="3171"/>
    <x v="13"/>
    <x v="1"/>
    <x v="12"/>
    <x v="3"/>
    <n v="41"/>
    <s v="Rhode Island"/>
    <x v="3"/>
    <x v="4"/>
    <x v="1"/>
    <x v="14"/>
    <x v="1"/>
    <x v="0"/>
    <x v="1"/>
    <x v="1"/>
    <n v="10"/>
    <x v="2"/>
    <x v="0"/>
  </r>
  <r>
    <n v="3172"/>
    <x v="33"/>
    <x v="1"/>
    <x v="16"/>
    <x v="3"/>
    <n v="26"/>
    <s v="Tennessee"/>
    <x v="2"/>
    <x v="1"/>
    <x v="1"/>
    <x v="0"/>
    <x v="1"/>
    <x v="0"/>
    <x v="1"/>
    <x v="1"/>
    <n v="26"/>
    <x v="4"/>
    <x v="4"/>
  </r>
  <r>
    <n v="3173"/>
    <x v="9"/>
    <x v="1"/>
    <x v="20"/>
    <x v="0"/>
    <n v="52"/>
    <s v="Missouri"/>
    <x v="2"/>
    <x v="8"/>
    <x v="3"/>
    <x v="18"/>
    <x v="1"/>
    <x v="3"/>
    <x v="1"/>
    <x v="1"/>
    <n v="30"/>
    <x v="5"/>
    <x v="4"/>
  </r>
  <r>
    <n v="3174"/>
    <x v="28"/>
    <x v="1"/>
    <x v="11"/>
    <x v="0"/>
    <n v="46"/>
    <s v="Washington"/>
    <x v="0"/>
    <x v="11"/>
    <x v="2"/>
    <x v="8"/>
    <x v="1"/>
    <x v="2"/>
    <x v="1"/>
    <x v="1"/>
    <n v="32"/>
    <x v="3"/>
    <x v="0"/>
  </r>
  <r>
    <n v="3175"/>
    <x v="4"/>
    <x v="1"/>
    <x v="13"/>
    <x v="0"/>
    <n v="52"/>
    <s v="Oklahoma"/>
    <x v="0"/>
    <x v="20"/>
    <x v="0"/>
    <x v="22"/>
    <x v="1"/>
    <x v="5"/>
    <x v="1"/>
    <x v="1"/>
    <n v="35"/>
    <x v="3"/>
    <x v="5"/>
  </r>
  <r>
    <n v="3176"/>
    <x v="25"/>
    <x v="1"/>
    <x v="20"/>
    <x v="0"/>
    <n v="42"/>
    <s v="Connecticut"/>
    <x v="2"/>
    <x v="1"/>
    <x v="3"/>
    <x v="23"/>
    <x v="1"/>
    <x v="5"/>
    <x v="1"/>
    <x v="1"/>
    <n v="26"/>
    <x v="5"/>
    <x v="6"/>
  </r>
  <r>
    <n v="3177"/>
    <x v="24"/>
    <x v="1"/>
    <x v="3"/>
    <x v="1"/>
    <n v="37"/>
    <s v="Arkansas"/>
    <x v="3"/>
    <x v="2"/>
    <x v="1"/>
    <x v="12"/>
    <x v="1"/>
    <x v="4"/>
    <x v="1"/>
    <x v="1"/>
    <n v="39"/>
    <x v="2"/>
    <x v="5"/>
  </r>
  <r>
    <n v="3178"/>
    <x v="0"/>
    <x v="1"/>
    <x v="22"/>
    <x v="3"/>
    <n v="52"/>
    <s v="Missouri"/>
    <x v="0"/>
    <x v="19"/>
    <x v="3"/>
    <x v="4"/>
    <x v="1"/>
    <x v="3"/>
    <x v="1"/>
    <x v="1"/>
    <n v="31"/>
    <x v="2"/>
    <x v="5"/>
  </r>
  <r>
    <n v="3179"/>
    <x v="17"/>
    <x v="1"/>
    <x v="3"/>
    <x v="1"/>
    <n v="34"/>
    <s v="Washington"/>
    <x v="0"/>
    <x v="19"/>
    <x v="1"/>
    <x v="2"/>
    <x v="1"/>
    <x v="1"/>
    <x v="1"/>
    <x v="1"/>
    <n v="28"/>
    <x v="2"/>
    <x v="2"/>
  </r>
  <r>
    <n v="3180"/>
    <x v="9"/>
    <x v="1"/>
    <x v="6"/>
    <x v="0"/>
    <n v="88"/>
    <s v="Idaho"/>
    <x v="2"/>
    <x v="8"/>
    <x v="1"/>
    <x v="24"/>
    <x v="1"/>
    <x v="1"/>
    <x v="1"/>
    <x v="1"/>
    <n v="12"/>
    <x v="5"/>
    <x v="4"/>
  </r>
  <r>
    <n v="3181"/>
    <x v="20"/>
    <x v="1"/>
    <x v="8"/>
    <x v="3"/>
    <n v="88"/>
    <s v="Montana"/>
    <x v="0"/>
    <x v="2"/>
    <x v="3"/>
    <x v="22"/>
    <x v="1"/>
    <x v="3"/>
    <x v="1"/>
    <x v="1"/>
    <n v="46"/>
    <x v="3"/>
    <x v="1"/>
  </r>
  <r>
    <n v="3182"/>
    <x v="18"/>
    <x v="1"/>
    <x v="14"/>
    <x v="2"/>
    <n v="51"/>
    <s v="Montana"/>
    <x v="2"/>
    <x v="4"/>
    <x v="2"/>
    <x v="14"/>
    <x v="1"/>
    <x v="1"/>
    <x v="1"/>
    <x v="1"/>
    <n v="27"/>
    <x v="3"/>
    <x v="6"/>
  </r>
  <r>
    <n v="3183"/>
    <x v="2"/>
    <x v="1"/>
    <x v="12"/>
    <x v="3"/>
    <n v="97"/>
    <s v="Georgia"/>
    <x v="0"/>
    <x v="14"/>
    <x v="3"/>
    <x v="15"/>
    <x v="1"/>
    <x v="1"/>
    <x v="1"/>
    <x v="1"/>
    <n v="4"/>
    <x v="2"/>
    <x v="2"/>
  </r>
  <r>
    <n v="3184"/>
    <x v="2"/>
    <x v="1"/>
    <x v="4"/>
    <x v="1"/>
    <n v="56"/>
    <s v="Mississippi"/>
    <x v="2"/>
    <x v="14"/>
    <x v="0"/>
    <x v="1"/>
    <x v="1"/>
    <x v="3"/>
    <x v="1"/>
    <x v="1"/>
    <n v="14"/>
    <x v="1"/>
    <x v="6"/>
  </r>
  <r>
    <n v="3185"/>
    <x v="12"/>
    <x v="1"/>
    <x v="1"/>
    <x v="0"/>
    <n v="53"/>
    <s v="Hawaii"/>
    <x v="0"/>
    <x v="14"/>
    <x v="1"/>
    <x v="19"/>
    <x v="1"/>
    <x v="4"/>
    <x v="1"/>
    <x v="1"/>
    <n v="30"/>
    <x v="0"/>
    <x v="3"/>
  </r>
  <r>
    <n v="3186"/>
    <x v="16"/>
    <x v="1"/>
    <x v="11"/>
    <x v="0"/>
    <n v="71"/>
    <s v="Ohio"/>
    <x v="0"/>
    <x v="9"/>
    <x v="3"/>
    <x v="10"/>
    <x v="1"/>
    <x v="0"/>
    <x v="1"/>
    <x v="1"/>
    <n v="6"/>
    <x v="3"/>
    <x v="2"/>
  </r>
  <r>
    <n v="3187"/>
    <x v="21"/>
    <x v="1"/>
    <x v="16"/>
    <x v="3"/>
    <n v="93"/>
    <s v="Virginia"/>
    <x v="1"/>
    <x v="17"/>
    <x v="0"/>
    <x v="6"/>
    <x v="1"/>
    <x v="5"/>
    <x v="1"/>
    <x v="1"/>
    <n v="43"/>
    <x v="0"/>
    <x v="2"/>
  </r>
  <r>
    <n v="3188"/>
    <x v="29"/>
    <x v="1"/>
    <x v="0"/>
    <x v="0"/>
    <n v="72"/>
    <s v="Texas"/>
    <x v="0"/>
    <x v="21"/>
    <x v="0"/>
    <x v="4"/>
    <x v="1"/>
    <x v="1"/>
    <x v="1"/>
    <x v="1"/>
    <n v="28"/>
    <x v="5"/>
    <x v="1"/>
  </r>
  <r>
    <n v="3189"/>
    <x v="32"/>
    <x v="1"/>
    <x v="0"/>
    <x v="0"/>
    <n v="59"/>
    <s v="Vermont"/>
    <x v="2"/>
    <x v="12"/>
    <x v="0"/>
    <x v="1"/>
    <x v="1"/>
    <x v="3"/>
    <x v="1"/>
    <x v="1"/>
    <n v="39"/>
    <x v="4"/>
    <x v="5"/>
  </r>
  <r>
    <n v="3190"/>
    <x v="15"/>
    <x v="1"/>
    <x v="23"/>
    <x v="1"/>
    <n v="87"/>
    <s v="Kansas"/>
    <x v="2"/>
    <x v="19"/>
    <x v="2"/>
    <x v="19"/>
    <x v="1"/>
    <x v="5"/>
    <x v="1"/>
    <x v="1"/>
    <n v="30"/>
    <x v="3"/>
    <x v="4"/>
  </r>
  <r>
    <n v="3191"/>
    <x v="38"/>
    <x v="1"/>
    <x v="2"/>
    <x v="0"/>
    <n v="78"/>
    <s v="California"/>
    <x v="1"/>
    <x v="7"/>
    <x v="3"/>
    <x v="23"/>
    <x v="1"/>
    <x v="1"/>
    <x v="1"/>
    <x v="1"/>
    <n v="5"/>
    <x v="2"/>
    <x v="0"/>
  </r>
  <r>
    <n v="3192"/>
    <x v="46"/>
    <x v="1"/>
    <x v="15"/>
    <x v="0"/>
    <n v="68"/>
    <s v="Mississippi"/>
    <x v="3"/>
    <x v="1"/>
    <x v="0"/>
    <x v="10"/>
    <x v="1"/>
    <x v="5"/>
    <x v="1"/>
    <x v="1"/>
    <n v="42"/>
    <x v="2"/>
    <x v="6"/>
  </r>
  <r>
    <n v="3193"/>
    <x v="1"/>
    <x v="1"/>
    <x v="1"/>
    <x v="0"/>
    <n v="76"/>
    <s v="Iowa"/>
    <x v="1"/>
    <x v="1"/>
    <x v="3"/>
    <x v="21"/>
    <x v="1"/>
    <x v="1"/>
    <x v="1"/>
    <x v="1"/>
    <n v="20"/>
    <x v="1"/>
    <x v="0"/>
  </r>
  <r>
    <n v="3194"/>
    <x v="6"/>
    <x v="1"/>
    <x v="24"/>
    <x v="3"/>
    <n v="99"/>
    <s v="Virginia"/>
    <x v="0"/>
    <x v="11"/>
    <x v="0"/>
    <x v="17"/>
    <x v="1"/>
    <x v="0"/>
    <x v="1"/>
    <x v="1"/>
    <n v="35"/>
    <x v="2"/>
    <x v="0"/>
  </r>
  <r>
    <n v="3195"/>
    <x v="49"/>
    <x v="1"/>
    <x v="4"/>
    <x v="1"/>
    <n v="52"/>
    <s v="Maryland"/>
    <x v="0"/>
    <x v="9"/>
    <x v="2"/>
    <x v="12"/>
    <x v="1"/>
    <x v="3"/>
    <x v="1"/>
    <x v="1"/>
    <n v="10"/>
    <x v="2"/>
    <x v="4"/>
  </r>
  <r>
    <n v="3196"/>
    <x v="33"/>
    <x v="1"/>
    <x v="12"/>
    <x v="3"/>
    <n v="58"/>
    <s v="Missouri"/>
    <x v="1"/>
    <x v="16"/>
    <x v="1"/>
    <x v="8"/>
    <x v="1"/>
    <x v="2"/>
    <x v="1"/>
    <x v="1"/>
    <n v="36"/>
    <x v="2"/>
    <x v="3"/>
  </r>
  <r>
    <n v="3197"/>
    <x v="41"/>
    <x v="1"/>
    <x v="22"/>
    <x v="3"/>
    <n v="59"/>
    <s v="Wisconsin"/>
    <x v="0"/>
    <x v="1"/>
    <x v="0"/>
    <x v="11"/>
    <x v="1"/>
    <x v="0"/>
    <x v="1"/>
    <x v="1"/>
    <n v="21"/>
    <x v="5"/>
    <x v="0"/>
  </r>
  <r>
    <n v="3198"/>
    <x v="7"/>
    <x v="1"/>
    <x v="1"/>
    <x v="0"/>
    <n v="71"/>
    <s v="Maine"/>
    <x v="2"/>
    <x v="11"/>
    <x v="1"/>
    <x v="4"/>
    <x v="1"/>
    <x v="1"/>
    <x v="1"/>
    <x v="1"/>
    <n v="29"/>
    <x v="2"/>
    <x v="6"/>
  </r>
  <r>
    <n v="3199"/>
    <x v="12"/>
    <x v="1"/>
    <x v="24"/>
    <x v="3"/>
    <n v="94"/>
    <s v="Pennsylvania"/>
    <x v="0"/>
    <x v="15"/>
    <x v="0"/>
    <x v="11"/>
    <x v="1"/>
    <x v="1"/>
    <x v="1"/>
    <x v="1"/>
    <n v="39"/>
    <x v="5"/>
    <x v="1"/>
  </r>
  <r>
    <n v="3200"/>
    <x v="35"/>
    <x v="1"/>
    <x v="8"/>
    <x v="3"/>
    <n v="40"/>
    <s v="Maine"/>
    <x v="3"/>
    <x v="6"/>
    <x v="0"/>
    <x v="19"/>
    <x v="1"/>
    <x v="0"/>
    <x v="1"/>
    <x v="1"/>
    <n v="16"/>
    <x v="3"/>
    <x v="5"/>
  </r>
  <r>
    <n v="3201"/>
    <x v="29"/>
    <x v="1"/>
    <x v="20"/>
    <x v="0"/>
    <n v="24"/>
    <s v="Missouri"/>
    <x v="0"/>
    <x v="13"/>
    <x v="1"/>
    <x v="6"/>
    <x v="1"/>
    <x v="1"/>
    <x v="1"/>
    <x v="1"/>
    <n v="32"/>
    <x v="2"/>
    <x v="5"/>
  </r>
  <r>
    <n v="3202"/>
    <x v="5"/>
    <x v="1"/>
    <x v="13"/>
    <x v="0"/>
    <n v="38"/>
    <s v="Vermont"/>
    <x v="1"/>
    <x v="21"/>
    <x v="3"/>
    <x v="11"/>
    <x v="1"/>
    <x v="4"/>
    <x v="1"/>
    <x v="1"/>
    <n v="34"/>
    <x v="1"/>
    <x v="5"/>
  </r>
  <r>
    <n v="3203"/>
    <x v="13"/>
    <x v="1"/>
    <x v="18"/>
    <x v="3"/>
    <n v="37"/>
    <s v="Wisconsin"/>
    <x v="0"/>
    <x v="14"/>
    <x v="3"/>
    <x v="9"/>
    <x v="1"/>
    <x v="3"/>
    <x v="1"/>
    <x v="1"/>
    <n v="38"/>
    <x v="0"/>
    <x v="2"/>
  </r>
  <r>
    <n v="3204"/>
    <x v="6"/>
    <x v="1"/>
    <x v="7"/>
    <x v="2"/>
    <n v="29"/>
    <s v="New Jersey"/>
    <x v="0"/>
    <x v="11"/>
    <x v="1"/>
    <x v="7"/>
    <x v="1"/>
    <x v="0"/>
    <x v="1"/>
    <x v="1"/>
    <n v="14"/>
    <x v="0"/>
    <x v="2"/>
  </r>
  <r>
    <n v="3205"/>
    <x v="9"/>
    <x v="1"/>
    <x v="14"/>
    <x v="2"/>
    <n v="92"/>
    <s v="New Mexico"/>
    <x v="3"/>
    <x v="12"/>
    <x v="3"/>
    <x v="24"/>
    <x v="1"/>
    <x v="1"/>
    <x v="1"/>
    <x v="1"/>
    <n v="23"/>
    <x v="5"/>
    <x v="4"/>
  </r>
  <r>
    <n v="3206"/>
    <x v="37"/>
    <x v="1"/>
    <x v="15"/>
    <x v="0"/>
    <n v="24"/>
    <s v="Colorado"/>
    <x v="3"/>
    <x v="23"/>
    <x v="3"/>
    <x v="14"/>
    <x v="1"/>
    <x v="4"/>
    <x v="1"/>
    <x v="1"/>
    <n v="50"/>
    <x v="4"/>
    <x v="6"/>
  </r>
  <r>
    <n v="3207"/>
    <x v="24"/>
    <x v="1"/>
    <x v="23"/>
    <x v="1"/>
    <n v="52"/>
    <s v="California"/>
    <x v="2"/>
    <x v="18"/>
    <x v="0"/>
    <x v="21"/>
    <x v="1"/>
    <x v="1"/>
    <x v="1"/>
    <x v="1"/>
    <n v="49"/>
    <x v="3"/>
    <x v="5"/>
  </r>
  <r>
    <n v="3208"/>
    <x v="29"/>
    <x v="1"/>
    <x v="20"/>
    <x v="0"/>
    <n v="29"/>
    <s v="Arizona"/>
    <x v="3"/>
    <x v="19"/>
    <x v="2"/>
    <x v="2"/>
    <x v="1"/>
    <x v="2"/>
    <x v="1"/>
    <x v="1"/>
    <n v="14"/>
    <x v="3"/>
    <x v="2"/>
  </r>
  <r>
    <n v="3209"/>
    <x v="12"/>
    <x v="1"/>
    <x v="16"/>
    <x v="3"/>
    <n v="30"/>
    <s v="Indiana"/>
    <x v="0"/>
    <x v="21"/>
    <x v="0"/>
    <x v="13"/>
    <x v="1"/>
    <x v="4"/>
    <x v="1"/>
    <x v="1"/>
    <n v="42"/>
    <x v="3"/>
    <x v="1"/>
  </r>
  <r>
    <n v="3210"/>
    <x v="14"/>
    <x v="1"/>
    <x v="9"/>
    <x v="1"/>
    <n v="31"/>
    <s v="Arkansas"/>
    <x v="0"/>
    <x v="15"/>
    <x v="3"/>
    <x v="24"/>
    <x v="1"/>
    <x v="3"/>
    <x v="1"/>
    <x v="1"/>
    <n v="39"/>
    <x v="5"/>
    <x v="2"/>
  </r>
  <r>
    <n v="3211"/>
    <x v="11"/>
    <x v="1"/>
    <x v="20"/>
    <x v="0"/>
    <n v="67"/>
    <s v="Nevada"/>
    <x v="2"/>
    <x v="23"/>
    <x v="2"/>
    <x v="3"/>
    <x v="1"/>
    <x v="0"/>
    <x v="1"/>
    <x v="1"/>
    <n v="43"/>
    <x v="0"/>
    <x v="4"/>
  </r>
  <r>
    <n v="3212"/>
    <x v="10"/>
    <x v="1"/>
    <x v="13"/>
    <x v="0"/>
    <n v="65"/>
    <s v="Rhode Island"/>
    <x v="0"/>
    <x v="2"/>
    <x v="0"/>
    <x v="8"/>
    <x v="1"/>
    <x v="3"/>
    <x v="1"/>
    <x v="1"/>
    <n v="12"/>
    <x v="1"/>
    <x v="5"/>
  </r>
  <r>
    <n v="3213"/>
    <x v="7"/>
    <x v="1"/>
    <x v="4"/>
    <x v="1"/>
    <n v="22"/>
    <s v="Wyoming"/>
    <x v="2"/>
    <x v="21"/>
    <x v="0"/>
    <x v="15"/>
    <x v="1"/>
    <x v="4"/>
    <x v="1"/>
    <x v="1"/>
    <n v="21"/>
    <x v="5"/>
    <x v="1"/>
  </r>
  <r>
    <n v="3214"/>
    <x v="7"/>
    <x v="1"/>
    <x v="12"/>
    <x v="3"/>
    <n v="56"/>
    <s v="Texas"/>
    <x v="2"/>
    <x v="18"/>
    <x v="0"/>
    <x v="13"/>
    <x v="1"/>
    <x v="3"/>
    <x v="1"/>
    <x v="1"/>
    <n v="33"/>
    <x v="2"/>
    <x v="5"/>
  </r>
  <r>
    <n v="3215"/>
    <x v="10"/>
    <x v="1"/>
    <x v="11"/>
    <x v="0"/>
    <n v="78"/>
    <s v="Washington"/>
    <x v="2"/>
    <x v="22"/>
    <x v="1"/>
    <x v="0"/>
    <x v="1"/>
    <x v="1"/>
    <x v="1"/>
    <x v="1"/>
    <n v="6"/>
    <x v="5"/>
    <x v="2"/>
  </r>
  <r>
    <n v="3216"/>
    <x v="50"/>
    <x v="1"/>
    <x v="7"/>
    <x v="2"/>
    <n v="90"/>
    <s v="Rhode Island"/>
    <x v="2"/>
    <x v="23"/>
    <x v="2"/>
    <x v="2"/>
    <x v="1"/>
    <x v="1"/>
    <x v="1"/>
    <x v="1"/>
    <n v="10"/>
    <x v="3"/>
    <x v="6"/>
  </r>
  <r>
    <n v="3217"/>
    <x v="31"/>
    <x v="1"/>
    <x v="15"/>
    <x v="0"/>
    <n v="85"/>
    <s v="Illinois"/>
    <x v="1"/>
    <x v="8"/>
    <x v="0"/>
    <x v="23"/>
    <x v="1"/>
    <x v="2"/>
    <x v="1"/>
    <x v="1"/>
    <n v="18"/>
    <x v="1"/>
    <x v="1"/>
  </r>
  <r>
    <n v="3218"/>
    <x v="42"/>
    <x v="1"/>
    <x v="12"/>
    <x v="3"/>
    <n v="58"/>
    <s v="Oregon"/>
    <x v="2"/>
    <x v="5"/>
    <x v="3"/>
    <x v="23"/>
    <x v="1"/>
    <x v="0"/>
    <x v="1"/>
    <x v="1"/>
    <n v="46"/>
    <x v="0"/>
    <x v="1"/>
  </r>
  <r>
    <n v="3219"/>
    <x v="43"/>
    <x v="1"/>
    <x v="11"/>
    <x v="0"/>
    <n v="34"/>
    <s v="Florida"/>
    <x v="2"/>
    <x v="11"/>
    <x v="3"/>
    <x v="20"/>
    <x v="1"/>
    <x v="0"/>
    <x v="1"/>
    <x v="1"/>
    <n v="49"/>
    <x v="3"/>
    <x v="5"/>
  </r>
  <r>
    <n v="3220"/>
    <x v="9"/>
    <x v="1"/>
    <x v="7"/>
    <x v="2"/>
    <n v="40"/>
    <s v="Kansas"/>
    <x v="0"/>
    <x v="3"/>
    <x v="2"/>
    <x v="1"/>
    <x v="1"/>
    <x v="4"/>
    <x v="1"/>
    <x v="1"/>
    <n v="39"/>
    <x v="2"/>
    <x v="1"/>
  </r>
  <r>
    <n v="3221"/>
    <x v="21"/>
    <x v="1"/>
    <x v="8"/>
    <x v="3"/>
    <n v="29"/>
    <s v="North Dakota"/>
    <x v="2"/>
    <x v="24"/>
    <x v="3"/>
    <x v="7"/>
    <x v="1"/>
    <x v="1"/>
    <x v="1"/>
    <x v="1"/>
    <n v="16"/>
    <x v="1"/>
    <x v="5"/>
  </r>
  <r>
    <n v="3222"/>
    <x v="3"/>
    <x v="1"/>
    <x v="17"/>
    <x v="0"/>
    <n v="76"/>
    <s v="New Hampshire"/>
    <x v="2"/>
    <x v="22"/>
    <x v="0"/>
    <x v="4"/>
    <x v="1"/>
    <x v="3"/>
    <x v="1"/>
    <x v="1"/>
    <n v="28"/>
    <x v="1"/>
    <x v="2"/>
  </r>
  <r>
    <n v="3223"/>
    <x v="4"/>
    <x v="1"/>
    <x v="12"/>
    <x v="3"/>
    <n v="84"/>
    <s v="Texas"/>
    <x v="1"/>
    <x v="1"/>
    <x v="3"/>
    <x v="12"/>
    <x v="1"/>
    <x v="5"/>
    <x v="1"/>
    <x v="1"/>
    <n v="22"/>
    <x v="3"/>
    <x v="3"/>
  </r>
  <r>
    <n v="3224"/>
    <x v="33"/>
    <x v="1"/>
    <x v="5"/>
    <x v="0"/>
    <n v="65"/>
    <s v="Montana"/>
    <x v="1"/>
    <x v="0"/>
    <x v="1"/>
    <x v="20"/>
    <x v="1"/>
    <x v="3"/>
    <x v="1"/>
    <x v="1"/>
    <n v="36"/>
    <x v="0"/>
    <x v="4"/>
  </r>
  <r>
    <n v="3225"/>
    <x v="43"/>
    <x v="1"/>
    <x v="15"/>
    <x v="0"/>
    <n v="80"/>
    <s v="Delaware"/>
    <x v="0"/>
    <x v="21"/>
    <x v="0"/>
    <x v="2"/>
    <x v="1"/>
    <x v="1"/>
    <x v="1"/>
    <x v="1"/>
    <n v="18"/>
    <x v="3"/>
    <x v="5"/>
  </r>
  <r>
    <n v="3226"/>
    <x v="10"/>
    <x v="1"/>
    <x v="0"/>
    <x v="0"/>
    <n v="98"/>
    <s v="New Hampshire"/>
    <x v="2"/>
    <x v="6"/>
    <x v="3"/>
    <x v="21"/>
    <x v="1"/>
    <x v="5"/>
    <x v="1"/>
    <x v="1"/>
    <n v="31"/>
    <x v="2"/>
    <x v="1"/>
  </r>
  <r>
    <n v="3227"/>
    <x v="9"/>
    <x v="1"/>
    <x v="4"/>
    <x v="1"/>
    <n v="71"/>
    <s v="Minnesota"/>
    <x v="3"/>
    <x v="19"/>
    <x v="1"/>
    <x v="13"/>
    <x v="1"/>
    <x v="2"/>
    <x v="1"/>
    <x v="1"/>
    <n v="38"/>
    <x v="4"/>
    <x v="0"/>
  </r>
  <r>
    <n v="3228"/>
    <x v="48"/>
    <x v="1"/>
    <x v="18"/>
    <x v="3"/>
    <n v="69"/>
    <s v="Alaska"/>
    <x v="3"/>
    <x v="3"/>
    <x v="3"/>
    <x v="2"/>
    <x v="1"/>
    <x v="1"/>
    <x v="1"/>
    <x v="1"/>
    <n v="42"/>
    <x v="5"/>
    <x v="3"/>
  </r>
  <r>
    <n v="3229"/>
    <x v="43"/>
    <x v="1"/>
    <x v="16"/>
    <x v="3"/>
    <n v="95"/>
    <s v="Connecticut"/>
    <x v="2"/>
    <x v="22"/>
    <x v="1"/>
    <x v="12"/>
    <x v="1"/>
    <x v="4"/>
    <x v="1"/>
    <x v="1"/>
    <n v="27"/>
    <x v="3"/>
    <x v="2"/>
  </r>
  <r>
    <n v="3230"/>
    <x v="22"/>
    <x v="1"/>
    <x v="13"/>
    <x v="0"/>
    <n v="67"/>
    <s v="Connecticut"/>
    <x v="2"/>
    <x v="11"/>
    <x v="3"/>
    <x v="2"/>
    <x v="1"/>
    <x v="0"/>
    <x v="1"/>
    <x v="1"/>
    <n v="24"/>
    <x v="1"/>
    <x v="5"/>
  </r>
  <r>
    <n v="3231"/>
    <x v="34"/>
    <x v="1"/>
    <x v="4"/>
    <x v="1"/>
    <n v="49"/>
    <s v="Kansas"/>
    <x v="2"/>
    <x v="8"/>
    <x v="2"/>
    <x v="25"/>
    <x v="1"/>
    <x v="2"/>
    <x v="1"/>
    <x v="1"/>
    <n v="38"/>
    <x v="5"/>
    <x v="2"/>
  </r>
  <r>
    <n v="3232"/>
    <x v="46"/>
    <x v="1"/>
    <x v="9"/>
    <x v="1"/>
    <n v="97"/>
    <s v="Nevada"/>
    <x v="2"/>
    <x v="1"/>
    <x v="0"/>
    <x v="14"/>
    <x v="1"/>
    <x v="1"/>
    <x v="1"/>
    <x v="1"/>
    <n v="9"/>
    <x v="2"/>
    <x v="2"/>
  </r>
  <r>
    <n v="3233"/>
    <x v="4"/>
    <x v="1"/>
    <x v="17"/>
    <x v="0"/>
    <n v="34"/>
    <s v="Massachusetts"/>
    <x v="2"/>
    <x v="3"/>
    <x v="1"/>
    <x v="17"/>
    <x v="1"/>
    <x v="2"/>
    <x v="1"/>
    <x v="1"/>
    <n v="19"/>
    <x v="4"/>
    <x v="5"/>
  </r>
  <r>
    <n v="3234"/>
    <x v="4"/>
    <x v="1"/>
    <x v="22"/>
    <x v="3"/>
    <n v="74"/>
    <s v="Indiana"/>
    <x v="2"/>
    <x v="12"/>
    <x v="3"/>
    <x v="22"/>
    <x v="1"/>
    <x v="0"/>
    <x v="1"/>
    <x v="1"/>
    <n v="11"/>
    <x v="5"/>
    <x v="4"/>
  </r>
  <r>
    <n v="3235"/>
    <x v="34"/>
    <x v="1"/>
    <x v="16"/>
    <x v="3"/>
    <n v="96"/>
    <s v="Washington"/>
    <x v="2"/>
    <x v="13"/>
    <x v="0"/>
    <x v="25"/>
    <x v="1"/>
    <x v="4"/>
    <x v="1"/>
    <x v="1"/>
    <n v="16"/>
    <x v="5"/>
    <x v="3"/>
  </r>
  <r>
    <n v="3236"/>
    <x v="7"/>
    <x v="1"/>
    <x v="22"/>
    <x v="3"/>
    <n v="68"/>
    <s v="Kansas"/>
    <x v="2"/>
    <x v="14"/>
    <x v="2"/>
    <x v="17"/>
    <x v="1"/>
    <x v="1"/>
    <x v="1"/>
    <x v="1"/>
    <n v="18"/>
    <x v="0"/>
    <x v="5"/>
  </r>
  <r>
    <n v="3237"/>
    <x v="6"/>
    <x v="1"/>
    <x v="22"/>
    <x v="3"/>
    <n v="84"/>
    <s v="South Carolina"/>
    <x v="0"/>
    <x v="8"/>
    <x v="3"/>
    <x v="7"/>
    <x v="1"/>
    <x v="2"/>
    <x v="1"/>
    <x v="1"/>
    <n v="8"/>
    <x v="1"/>
    <x v="5"/>
  </r>
  <r>
    <n v="3238"/>
    <x v="12"/>
    <x v="1"/>
    <x v="17"/>
    <x v="0"/>
    <n v="57"/>
    <s v="Vermont"/>
    <x v="2"/>
    <x v="0"/>
    <x v="2"/>
    <x v="11"/>
    <x v="1"/>
    <x v="0"/>
    <x v="1"/>
    <x v="1"/>
    <n v="4"/>
    <x v="1"/>
    <x v="1"/>
  </r>
  <r>
    <n v="3239"/>
    <x v="15"/>
    <x v="1"/>
    <x v="4"/>
    <x v="1"/>
    <n v="84"/>
    <s v="Wyoming"/>
    <x v="3"/>
    <x v="11"/>
    <x v="3"/>
    <x v="23"/>
    <x v="1"/>
    <x v="4"/>
    <x v="1"/>
    <x v="1"/>
    <n v="37"/>
    <x v="1"/>
    <x v="3"/>
  </r>
  <r>
    <n v="3240"/>
    <x v="23"/>
    <x v="1"/>
    <x v="12"/>
    <x v="3"/>
    <n v="32"/>
    <s v="Colorado"/>
    <x v="2"/>
    <x v="4"/>
    <x v="3"/>
    <x v="2"/>
    <x v="1"/>
    <x v="4"/>
    <x v="1"/>
    <x v="1"/>
    <n v="30"/>
    <x v="1"/>
    <x v="5"/>
  </r>
  <r>
    <n v="3241"/>
    <x v="19"/>
    <x v="1"/>
    <x v="3"/>
    <x v="1"/>
    <n v="37"/>
    <s v="West Virginia"/>
    <x v="2"/>
    <x v="10"/>
    <x v="3"/>
    <x v="22"/>
    <x v="1"/>
    <x v="4"/>
    <x v="1"/>
    <x v="1"/>
    <n v="37"/>
    <x v="4"/>
    <x v="5"/>
  </r>
  <r>
    <n v="3242"/>
    <x v="2"/>
    <x v="1"/>
    <x v="8"/>
    <x v="3"/>
    <n v="58"/>
    <s v="Connecticut"/>
    <x v="2"/>
    <x v="12"/>
    <x v="2"/>
    <x v="14"/>
    <x v="1"/>
    <x v="5"/>
    <x v="1"/>
    <x v="1"/>
    <n v="30"/>
    <x v="3"/>
    <x v="3"/>
  </r>
  <r>
    <n v="3243"/>
    <x v="4"/>
    <x v="1"/>
    <x v="20"/>
    <x v="0"/>
    <n v="74"/>
    <s v="Oregon"/>
    <x v="1"/>
    <x v="19"/>
    <x v="3"/>
    <x v="11"/>
    <x v="1"/>
    <x v="0"/>
    <x v="1"/>
    <x v="1"/>
    <n v="17"/>
    <x v="0"/>
    <x v="1"/>
  </r>
  <r>
    <n v="3244"/>
    <x v="4"/>
    <x v="1"/>
    <x v="15"/>
    <x v="0"/>
    <n v="99"/>
    <s v="Idaho"/>
    <x v="0"/>
    <x v="13"/>
    <x v="2"/>
    <x v="16"/>
    <x v="1"/>
    <x v="5"/>
    <x v="1"/>
    <x v="1"/>
    <n v="11"/>
    <x v="4"/>
    <x v="6"/>
  </r>
  <r>
    <n v="3245"/>
    <x v="13"/>
    <x v="1"/>
    <x v="1"/>
    <x v="0"/>
    <n v="81"/>
    <s v="Arkansas"/>
    <x v="2"/>
    <x v="13"/>
    <x v="3"/>
    <x v="10"/>
    <x v="1"/>
    <x v="0"/>
    <x v="1"/>
    <x v="1"/>
    <n v="42"/>
    <x v="2"/>
    <x v="2"/>
  </r>
  <r>
    <n v="3246"/>
    <x v="6"/>
    <x v="1"/>
    <x v="13"/>
    <x v="0"/>
    <n v="76"/>
    <s v="Kansas"/>
    <x v="2"/>
    <x v="7"/>
    <x v="3"/>
    <x v="4"/>
    <x v="1"/>
    <x v="2"/>
    <x v="1"/>
    <x v="1"/>
    <n v="20"/>
    <x v="1"/>
    <x v="1"/>
  </r>
  <r>
    <n v="3247"/>
    <x v="27"/>
    <x v="1"/>
    <x v="4"/>
    <x v="1"/>
    <n v="98"/>
    <s v="Michigan"/>
    <x v="2"/>
    <x v="23"/>
    <x v="2"/>
    <x v="3"/>
    <x v="1"/>
    <x v="5"/>
    <x v="1"/>
    <x v="1"/>
    <n v="37"/>
    <x v="1"/>
    <x v="5"/>
  </r>
  <r>
    <n v="3248"/>
    <x v="10"/>
    <x v="1"/>
    <x v="24"/>
    <x v="3"/>
    <n v="91"/>
    <s v="Arkansas"/>
    <x v="2"/>
    <x v="11"/>
    <x v="2"/>
    <x v="18"/>
    <x v="1"/>
    <x v="0"/>
    <x v="1"/>
    <x v="1"/>
    <n v="12"/>
    <x v="3"/>
    <x v="0"/>
  </r>
  <r>
    <n v="3249"/>
    <x v="40"/>
    <x v="1"/>
    <x v="17"/>
    <x v="0"/>
    <n v="79"/>
    <s v="Pennsylvania"/>
    <x v="1"/>
    <x v="11"/>
    <x v="2"/>
    <x v="19"/>
    <x v="1"/>
    <x v="1"/>
    <x v="1"/>
    <x v="1"/>
    <n v="41"/>
    <x v="4"/>
    <x v="3"/>
  </r>
  <r>
    <n v="3250"/>
    <x v="8"/>
    <x v="1"/>
    <x v="21"/>
    <x v="3"/>
    <n v="83"/>
    <s v="Virginia"/>
    <x v="2"/>
    <x v="6"/>
    <x v="2"/>
    <x v="23"/>
    <x v="1"/>
    <x v="0"/>
    <x v="1"/>
    <x v="1"/>
    <n v="32"/>
    <x v="2"/>
    <x v="3"/>
  </r>
  <r>
    <n v="3251"/>
    <x v="51"/>
    <x v="1"/>
    <x v="7"/>
    <x v="2"/>
    <n v="90"/>
    <s v="Minnesota"/>
    <x v="2"/>
    <x v="11"/>
    <x v="1"/>
    <x v="3"/>
    <x v="1"/>
    <x v="4"/>
    <x v="1"/>
    <x v="1"/>
    <n v="15"/>
    <x v="0"/>
    <x v="1"/>
  </r>
  <r>
    <n v="3252"/>
    <x v="15"/>
    <x v="1"/>
    <x v="7"/>
    <x v="2"/>
    <n v="20"/>
    <s v="Nevada"/>
    <x v="2"/>
    <x v="9"/>
    <x v="0"/>
    <x v="18"/>
    <x v="1"/>
    <x v="3"/>
    <x v="1"/>
    <x v="1"/>
    <n v="39"/>
    <x v="0"/>
    <x v="3"/>
  </r>
  <r>
    <n v="3253"/>
    <x v="28"/>
    <x v="1"/>
    <x v="3"/>
    <x v="1"/>
    <n v="21"/>
    <s v="Montana"/>
    <x v="0"/>
    <x v="18"/>
    <x v="1"/>
    <x v="2"/>
    <x v="1"/>
    <x v="5"/>
    <x v="1"/>
    <x v="1"/>
    <n v="48"/>
    <x v="2"/>
    <x v="0"/>
  </r>
  <r>
    <n v="3254"/>
    <x v="24"/>
    <x v="1"/>
    <x v="21"/>
    <x v="3"/>
    <n v="60"/>
    <s v="Nebraska"/>
    <x v="2"/>
    <x v="18"/>
    <x v="3"/>
    <x v="4"/>
    <x v="1"/>
    <x v="4"/>
    <x v="1"/>
    <x v="1"/>
    <n v="8"/>
    <x v="0"/>
    <x v="0"/>
  </r>
  <r>
    <n v="3255"/>
    <x v="3"/>
    <x v="1"/>
    <x v="1"/>
    <x v="0"/>
    <n v="31"/>
    <s v="Indiana"/>
    <x v="1"/>
    <x v="23"/>
    <x v="0"/>
    <x v="8"/>
    <x v="1"/>
    <x v="5"/>
    <x v="1"/>
    <x v="1"/>
    <n v="11"/>
    <x v="4"/>
    <x v="6"/>
  </r>
  <r>
    <n v="3256"/>
    <x v="9"/>
    <x v="1"/>
    <x v="6"/>
    <x v="0"/>
    <n v="40"/>
    <s v="New Jersey"/>
    <x v="2"/>
    <x v="13"/>
    <x v="3"/>
    <x v="11"/>
    <x v="1"/>
    <x v="2"/>
    <x v="1"/>
    <x v="1"/>
    <n v="36"/>
    <x v="4"/>
    <x v="5"/>
  </r>
  <r>
    <n v="3257"/>
    <x v="52"/>
    <x v="1"/>
    <x v="12"/>
    <x v="3"/>
    <n v="26"/>
    <s v="Wisconsin"/>
    <x v="0"/>
    <x v="11"/>
    <x v="0"/>
    <x v="10"/>
    <x v="1"/>
    <x v="1"/>
    <x v="1"/>
    <x v="1"/>
    <n v="50"/>
    <x v="0"/>
    <x v="6"/>
  </r>
  <r>
    <n v="3258"/>
    <x v="42"/>
    <x v="1"/>
    <x v="5"/>
    <x v="0"/>
    <n v="98"/>
    <s v="Minnesota"/>
    <x v="2"/>
    <x v="18"/>
    <x v="3"/>
    <x v="13"/>
    <x v="1"/>
    <x v="0"/>
    <x v="1"/>
    <x v="1"/>
    <n v="39"/>
    <x v="0"/>
    <x v="6"/>
  </r>
  <r>
    <n v="3259"/>
    <x v="18"/>
    <x v="1"/>
    <x v="9"/>
    <x v="1"/>
    <n v="51"/>
    <s v="New Jersey"/>
    <x v="2"/>
    <x v="23"/>
    <x v="1"/>
    <x v="24"/>
    <x v="1"/>
    <x v="0"/>
    <x v="1"/>
    <x v="1"/>
    <n v="11"/>
    <x v="2"/>
    <x v="4"/>
  </r>
  <r>
    <n v="3260"/>
    <x v="9"/>
    <x v="1"/>
    <x v="19"/>
    <x v="3"/>
    <n v="95"/>
    <s v="Oklahoma"/>
    <x v="3"/>
    <x v="21"/>
    <x v="3"/>
    <x v="18"/>
    <x v="1"/>
    <x v="4"/>
    <x v="1"/>
    <x v="1"/>
    <n v="5"/>
    <x v="5"/>
    <x v="6"/>
  </r>
  <r>
    <n v="3261"/>
    <x v="31"/>
    <x v="1"/>
    <x v="18"/>
    <x v="3"/>
    <n v="36"/>
    <s v="Wisconsin"/>
    <x v="2"/>
    <x v="10"/>
    <x v="2"/>
    <x v="9"/>
    <x v="1"/>
    <x v="4"/>
    <x v="1"/>
    <x v="1"/>
    <n v="7"/>
    <x v="2"/>
    <x v="2"/>
  </r>
  <r>
    <n v="3262"/>
    <x v="39"/>
    <x v="1"/>
    <x v="22"/>
    <x v="3"/>
    <n v="52"/>
    <s v="Rhode Island"/>
    <x v="0"/>
    <x v="17"/>
    <x v="0"/>
    <x v="23"/>
    <x v="1"/>
    <x v="5"/>
    <x v="1"/>
    <x v="1"/>
    <n v="50"/>
    <x v="5"/>
    <x v="1"/>
  </r>
  <r>
    <n v="3263"/>
    <x v="32"/>
    <x v="1"/>
    <x v="17"/>
    <x v="0"/>
    <n v="35"/>
    <s v="Indiana"/>
    <x v="2"/>
    <x v="10"/>
    <x v="1"/>
    <x v="2"/>
    <x v="1"/>
    <x v="3"/>
    <x v="1"/>
    <x v="1"/>
    <n v="21"/>
    <x v="1"/>
    <x v="6"/>
  </r>
  <r>
    <n v="3264"/>
    <x v="19"/>
    <x v="1"/>
    <x v="6"/>
    <x v="0"/>
    <n v="68"/>
    <s v="Vermont"/>
    <x v="1"/>
    <x v="13"/>
    <x v="3"/>
    <x v="14"/>
    <x v="1"/>
    <x v="0"/>
    <x v="1"/>
    <x v="1"/>
    <n v="31"/>
    <x v="5"/>
    <x v="0"/>
  </r>
  <r>
    <n v="3265"/>
    <x v="48"/>
    <x v="1"/>
    <x v="13"/>
    <x v="0"/>
    <n v="50"/>
    <s v="Maine"/>
    <x v="1"/>
    <x v="4"/>
    <x v="0"/>
    <x v="17"/>
    <x v="1"/>
    <x v="0"/>
    <x v="1"/>
    <x v="1"/>
    <n v="39"/>
    <x v="1"/>
    <x v="4"/>
  </r>
  <r>
    <n v="3266"/>
    <x v="37"/>
    <x v="1"/>
    <x v="12"/>
    <x v="3"/>
    <n v="100"/>
    <s v="Alabama"/>
    <x v="2"/>
    <x v="3"/>
    <x v="0"/>
    <x v="4"/>
    <x v="1"/>
    <x v="0"/>
    <x v="1"/>
    <x v="1"/>
    <n v="28"/>
    <x v="2"/>
    <x v="0"/>
  </r>
  <r>
    <n v="3267"/>
    <x v="34"/>
    <x v="1"/>
    <x v="7"/>
    <x v="2"/>
    <n v="74"/>
    <s v="Alabama"/>
    <x v="1"/>
    <x v="0"/>
    <x v="0"/>
    <x v="19"/>
    <x v="1"/>
    <x v="2"/>
    <x v="1"/>
    <x v="1"/>
    <n v="33"/>
    <x v="4"/>
    <x v="1"/>
  </r>
  <r>
    <n v="3268"/>
    <x v="43"/>
    <x v="1"/>
    <x v="15"/>
    <x v="0"/>
    <n v="45"/>
    <s v="Idaho"/>
    <x v="0"/>
    <x v="6"/>
    <x v="0"/>
    <x v="21"/>
    <x v="1"/>
    <x v="5"/>
    <x v="1"/>
    <x v="1"/>
    <n v="42"/>
    <x v="2"/>
    <x v="3"/>
  </r>
  <r>
    <n v="3269"/>
    <x v="40"/>
    <x v="1"/>
    <x v="10"/>
    <x v="0"/>
    <n v="97"/>
    <s v="Arkansas"/>
    <x v="2"/>
    <x v="17"/>
    <x v="3"/>
    <x v="11"/>
    <x v="1"/>
    <x v="1"/>
    <x v="1"/>
    <x v="1"/>
    <n v="5"/>
    <x v="4"/>
    <x v="6"/>
  </r>
  <r>
    <n v="3270"/>
    <x v="7"/>
    <x v="1"/>
    <x v="0"/>
    <x v="0"/>
    <n v="60"/>
    <s v="Ohio"/>
    <x v="2"/>
    <x v="24"/>
    <x v="0"/>
    <x v="8"/>
    <x v="1"/>
    <x v="0"/>
    <x v="1"/>
    <x v="1"/>
    <n v="25"/>
    <x v="1"/>
    <x v="5"/>
  </r>
  <r>
    <n v="3271"/>
    <x v="35"/>
    <x v="1"/>
    <x v="20"/>
    <x v="0"/>
    <n v="25"/>
    <s v="Illinois"/>
    <x v="2"/>
    <x v="21"/>
    <x v="0"/>
    <x v="10"/>
    <x v="1"/>
    <x v="0"/>
    <x v="1"/>
    <x v="1"/>
    <n v="48"/>
    <x v="3"/>
    <x v="2"/>
  </r>
  <r>
    <n v="3272"/>
    <x v="25"/>
    <x v="1"/>
    <x v="20"/>
    <x v="0"/>
    <n v="55"/>
    <s v="Nevada"/>
    <x v="3"/>
    <x v="23"/>
    <x v="1"/>
    <x v="14"/>
    <x v="1"/>
    <x v="3"/>
    <x v="1"/>
    <x v="1"/>
    <n v="30"/>
    <x v="2"/>
    <x v="1"/>
  </r>
  <r>
    <n v="3273"/>
    <x v="44"/>
    <x v="1"/>
    <x v="9"/>
    <x v="1"/>
    <n v="99"/>
    <s v="Texas"/>
    <x v="2"/>
    <x v="12"/>
    <x v="0"/>
    <x v="0"/>
    <x v="1"/>
    <x v="2"/>
    <x v="1"/>
    <x v="1"/>
    <n v="34"/>
    <x v="3"/>
    <x v="3"/>
  </r>
  <r>
    <n v="3274"/>
    <x v="44"/>
    <x v="1"/>
    <x v="22"/>
    <x v="3"/>
    <n v="45"/>
    <s v="Nevada"/>
    <x v="1"/>
    <x v="20"/>
    <x v="2"/>
    <x v="5"/>
    <x v="1"/>
    <x v="1"/>
    <x v="1"/>
    <x v="1"/>
    <n v="34"/>
    <x v="3"/>
    <x v="6"/>
  </r>
  <r>
    <n v="3275"/>
    <x v="5"/>
    <x v="1"/>
    <x v="1"/>
    <x v="0"/>
    <n v="20"/>
    <s v="Oklahoma"/>
    <x v="2"/>
    <x v="17"/>
    <x v="1"/>
    <x v="20"/>
    <x v="1"/>
    <x v="5"/>
    <x v="1"/>
    <x v="1"/>
    <n v="14"/>
    <x v="1"/>
    <x v="0"/>
  </r>
  <r>
    <n v="3276"/>
    <x v="49"/>
    <x v="1"/>
    <x v="13"/>
    <x v="0"/>
    <n v="88"/>
    <s v="Alabama"/>
    <x v="3"/>
    <x v="14"/>
    <x v="2"/>
    <x v="5"/>
    <x v="1"/>
    <x v="4"/>
    <x v="1"/>
    <x v="1"/>
    <n v="2"/>
    <x v="5"/>
    <x v="1"/>
  </r>
  <r>
    <n v="3277"/>
    <x v="31"/>
    <x v="1"/>
    <x v="18"/>
    <x v="3"/>
    <n v="99"/>
    <s v="South Dakota"/>
    <x v="2"/>
    <x v="3"/>
    <x v="2"/>
    <x v="17"/>
    <x v="1"/>
    <x v="5"/>
    <x v="1"/>
    <x v="1"/>
    <n v="41"/>
    <x v="3"/>
    <x v="6"/>
  </r>
  <r>
    <n v="3278"/>
    <x v="35"/>
    <x v="1"/>
    <x v="11"/>
    <x v="0"/>
    <n v="86"/>
    <s v="Texas"/>
    <x v="2"/>
    <x v="24"/>
    <x v="1"/>
    <x v="8"/>
    <x v="1"/>
    <x v="5"/>
    <x v="1"/>
    <x v="1"/>
    <n v="3"/>
    <x v="2"/>
    <x v="5"/>
  </r>
  <r>
    <n v="3279"/>
    <x v="35"/>
    <x v="1"/>
    <x v="10"/>
    <x v="0"/>
    <n v="70"/>
    <s v="Montana"/>
    <x v="2"/>
    <x v="13"/>
    <x v="2"/>
    <x v="13"/>
    <x v="1"/>
    <x v="4"/>
    <x v="1"/>
    <x v="1"/>
    <n v="18"/>
    <x v="4"/>
    <x v="1"/>
  </r>
  <r>
    <n v="3280"/>
    <x v="35"/>
    <x v="1"/>
    <x v="19"/>
    <x v="3"/>
    <n v="50"/>
    <s v="Wyoming"/>
    <x v="1"/>
    <x v="16"/>
    <x v="3"/>
    <x v="21"/>
    <x v="1"/>
    <x v="0"/>
    <x v="1"/>
    <x v="1"/>
    <n v="1"/>
    <x v="5"/>
    <x v="0"/>
  </r>
  <r>
    <n v="3281"/>
    <x v="4"/>
    <x v="1"/>
    <x v="8"/>
    <x v="3"/>
    <n v="57"/>
    <s v="New York"/>
    <x v="0"/>
    <x v="16"/>
    <x v="0"/>
    <x v="2"/>
    <x v="1"/>
    <x v="2"/>
    <x v="1"/>
    <x v="1"/>
    <n v="5"/>
    <x v="3"/>
    <x v="5"/>
  </r>
  <r>
    <n v="3282"/>
    <x v="7"/>
    <x v="1"/>
    <x v="13"/>
    <x v="0"/>
    <n v="69"/>
    <s v="Oregon"/>
    <x v="0"/>
    <x v="9"/>
    <x v="0"/>
    <x v="0"/>
    <x v="1"/>
    <x v="1"/>
    <x v="1"/>
    <x v="1"/>
    <n v="41"/>
    <x v="4"/>
    <x v="2"/>
  </r>
  <r>
    <n v="3283"/>
    <x v="41"/>
    <x v="1"/>
    <x v="17"/>
    <x v="0"/>
    <n v="94"/>
    <s v="California"/>
    <x v="2"/>
    <x v="16"/>
    <x v="3"/>
    <x v="6"/>
    <x v="1"/>
    <x v="2"/>
    <x v="1"/>
    <x v="1"/>
    <n v="5"/>
    <x v="2"/>
    <x v="5"/>
  </r>
  <r>
    <n v="3284"/>
    <x v="36"/>
    <x v="1"/>
    <x v="14"/>
    <x v="2"/>
    <n v="24"/>
    <s v="North Carolina"/>
    <x v="0"/>
    <x v="7"/>
    <x v="1"/>
    <x v="3"/>
    <x v="1"/>
    <x v="0"/>
    <x v="1"/>
    <x v="1"/>
    <n v="10"/>
    <x v="5"/>
    <x v="6"/>
  </r>
  <r>
    <n v="3285"/>
    <x v="27"/>
    <x v="1"/>
    <x v="18"/>
    <x v="3"/>
    <n v="79"/>
    <s v="Kentucky"/>
    <x v="0"/>
    <x v="3"/>
    <x v="1"/>
    <x v="9"/>
    <x v="1"/>
    <x v="4"/>
    <x v="1"/>
    <x v="1"/>
    <n v="20"/>
    <x v="0"/>
    <x v="2"/>
  </r>
  <r>
    <n v="3286"/>
    <x v="44"/>
    <x v="1"/>
    <x v="19"/>
    <x v="3"/>
    <n v="31"/>
    <s v="Hawaii"/>
    <x v="3"/>
    <x v="23"/>
    <x v="3"/>
    <x v="12"/>
    <x v="1"/>
    <x v="1"/>
    <x v="1"/>
    <x v="1"/>
    <n v="11"/>
    <x v="1"/>
    <x v="1"/>
  </r>
  <r>
    <n v="3287"/>
    <x v="4"/>
    <x v="1"/>
    <x v="14"/>
    <x v="2"/>
    <n v="67"/>
    <s v="Illinois"/>
    <x v="0"/>
    <x v="6"/>
    <x v="0"/>
    <x v="16"/>
    <x v="1"/>
    <x v="0"/>
    <x v="1"/>
    <x v="1"/>
    <n v="4"/>
    <x v="0"/>
    <x v="0"/>
  </r>
  <r>
    <n v="3288"/>
    <x v="41"/>
    <x v="1"/>
    <x v="11"/>
    <x v="0"/>
    <n v="63"/>
    <s v="West Virginia"/>
    <x v="0"/>
    <x v="13"/>
    <x v="1"/>
    <x v="24"/>
    <x v="1"/>
    <x v="4"/>
    <x v="1"/>
    <x v="1"/>
    <n v="38"/>
    <x v="2"/>
    <x v="1"/>
  </r>
  <r>
    <n v="3289"/>
    <x v="29"/>
    <x v="1"/>
    <x v="8"/>
    <x v="3"/>
    <n v="61"/>
    <s v="South Carolina"/>
    <x v="3"/>
    <x v="3"/>
    <x v="1"/>
    <x v="8"/>
    <x v="1"/>
    <x v="2"/>
    <x v="1"/>
    <x v="1"/>
    <n v="19"/>
    <x v="2"/>
    <x v="4"/>
  </r>
  <r>
    <n v="3290"/>
    <x v="18"/>
    <x v="1"/>
    <x v="21"/>
    <x v="3"/>
    <n v="50"/>
    <s v="Montana"/>
    <x v="2"/>
    <x v="1"/>
    <x v="2"/>
    <x v="17"/>
    <x v="1"/>
    <x v="4"/>
    <x v="1"/>
    <x v="1"/>
    <n v="16"/>
    <x v="0"/>
    <x v="6"/>
  </r>
  <r>
    <n v="3291"/>
    <x v="16"/>
    <x v="1"/>
    <x v="7"/>
    <x v="2"/>
    <n v="82"/>
    <s v="North Dakota"/>
    <x v="0"/>
    <x v="13"/>
    <x v="1"/>
    <x v="0"/>
    <x v="1"/>
    <x v="1"/>
    <x v="1"/>
    <x v="1"/>
    <n v="2"/>
    <x v="3"/>
    <x v="5"/>
  </r>
  <r>
    <n v="3292"/>
    <x v="26"/>
    <x v="1"/>
    <x v="22"/>
    <x v="3"/>
    <n v="51"/>
    <s v="New Mexico"/>
    <x v="0"/>
    <x v="8"/>
    <x v="3"/>
    <x v="5"/>
    <x v="1"/>
    <x v="4"/>
    <x v="1"/>
    <x v="1"/>
    <n v="11"/>
    <x v="1"/>
    <x v="5"/>
  </r>
  <r>
    <n v="3293"/>
    <x v="46"/>
    <x v="1"/>
    <x v="8"/>
    <x v="3"/>
    <n v="23"/>
    <s v="Missouri"/>
    <x v="0"/>
    <x v="0"/>
    <x v="1"/>
    <x v="8"/>
    <x v="1"/>
    <x v="3"/>
    <x v="1"/>
    <x v="1"/>
    <n v="18"/>
    <x v="4"/>
    <x v="0"/>
  </r>
  <r>
    <n v="3294"/>
    <x v="1"/>
    <x v="1"/>
    <x v="7"/>
    <x v="2"/>
    <n v="91"/>
    <s v="West Virginia"/>
    <x v="2"/>
    <x v="9"/>
    <x v="1"/>
    <x v="1"/>
    <x v="1"/>
    <x v="4"/>
    <x v="1"/>
    <x v="1"/>
    <n v="47"/>
    <x v="2"/>
    <x v="0"/>
  </r>
  <r>
    <n v="3295"/>
    <x v="46"/>
    <x v="1"/>
    <x v="1"/>
    <x v="0"/>
    <n v="60"/>
    <s v="South Carolina"/>
    <x v="1"/>
    <x v="23"/>
    <x v="1"/>
    <x v="9"/>
    <x v="1"/>
    <x v="5"/>
    <x v="1"/>
    <x v="1"/>
    <n v="15"/>
    <x v="4"/>
    <x v="4"/>
  </r>
  <r>
    <n v="3296"/>
    <x v="27"/>
    <x v="1"/>
    <x v="0"/>
    <x v="0"/>
    <n v="34"/>
    <s v="West Virginia"/>
    <x v="1"/>
    <x v="12"/>
    <x v="2"/>
    <x v="11"/>
    <x v="1"/>
    <x v="2"/>
    <x v="1"/>
    <x v="1"/>
    <n v="15"/>
    <x v="1"/>
    <x v="1"/>
  </r>
  <r>
    <n v="3297"/>
    <x v="30"/>
    <x v="1"/>
    <x v="0"/>
    <x v="0"/>
    <n v="23"/>
    <s v="Alaska"/>
    <x v="2"/>
    <x v="14"/>
    <x v="1"/>
    <x v="19"/>
    <x v="1"/>
    <x v="2"/>
    <x v="1"/>
    <x v="1"/>
    <n v="47"/>
    <x v="0"/>
    <x v="3"/>
  </r>
  <r>
    <n v="3298"/>
    <x v="29"/>
    <x v="1"/>
    <x v="22"/>
    <x v="3"/>
    <n v="82"/>
    <s v="West Virginia"/>
    <x v="2"/>
    <x v="10"/>
    <x v="3"/>
    <x v="7"/>
    <x v="1"/>
    <x v="1"/>
    <x v="1"/>
    <x v="1"/>
    <n v="47"/>
    <x v="3"/>
    <x v="5"/>
  </r>
  <r>
    <n v="3299"/>
    <x v="13"/>
    <x v="1"/>
    <x v="14"/>
    <x v="2"/>
    <n v="73"/>
    <s v="New Mexico"/>
    <x v="2"/>
    <x v="18"/>
    <x v="3"/>
    <x v="1"/>
    <x v="1"/>
    <x v="0"/>
    <x v="1"/>
    <x v="1"/>
    <n v="6"/>
    <x v="4"/>
    <x v="6"/>
  </r>
  <r>
    <n v="3300"/>
    <x v="4"/>
    <x v="1"/>
    <x v="6"/>
    <x v="0"/>
    <n v="32"/>
    <s v="South Dakota"/>
    <x v="0"/>
    <x v="11"/>
    <x v="1"/>
    <x v="17"/>
    <x v="1"/>
    <x v="4"/>
    <x v="1"/>
    <x v="1"/>
    <n v="18"/>
    <x v="0"/>
    <x v="5"/>
  </r>
  <r>
    <n v="3301"/>
    <x v="8"/>
    <x v="1"/>
    <x v="19"/>
    <x v="3"/>
    <n v="80"/>
    <s v="Oklahoma"/>
    <x v="2"/>
    <x v="4"/>
    <x v="1"/>
    <x v="17"/>
    <x v="1"/>
    <x v="0"/>
    <x v="1"/>
    <x v="1"/>
    <n v="40"/>
    <x v="4"/>
    <x v="4"/>
  </r>
  <r>
    <n v="3302"/>
    <x v="24"/>
    <x v="1"/>
    <x v="13"/>
    <x v="0"/>
    <n v="58"/>
    <s v="Oklahoma"/>
    <x v="3"/>
    <x v="4"/>
    <x v="2"/>
    <x v="25"/>
    <x v="1"/>
    <x v="1"/>
    <x v="1"/>
    <x v="1"/>
    <n v="31"/>
    <x v="2"/>
    <x v="0"/>
  </r>
  <r>
    <n v="3303"/>
    <x v="24"/>
    <x v="1"/>
    <x v="0"/>
    <x v="0"/>
    <n v="82"/>
    <s v="Alabama"/>
    <x v="3"/>
    <x v="19"/>
    <x v="0"/>
    <x v="19"/>
    <x v="1"/>
    <x v="3"/>
    <x v="1"/>
    <x v="1"/>
    <n v="31"/>
    <x v="0"/>
    <x v="4"/>
  </r>
  <r>
    <n v="3304"/>
    <x v="30"/>
    <x v="1"/>
    <x v="22"/>
    <x v="3"/>
    <n v="60"/>
    <s v="Mississippi"/>
    <x v="1"/>
    <x v="2"/>
    <x v="2"/>
    <x v="23"/>
    <x v="1"/>
    <x v="2"/>
    <x v="1"/>
    <x v="1"/>
    <n v="4"/>
    <x v="2"/>
    <x v="0"/>
  </r>
  <r>
    <n v="3305"/>
    <x v="11"/>
    <x v="1"/>
    <x v="8"/>
    <x v="3"/>
    <n v="79"/>
    <s v="Mississippi"/>
    <x v="3"/>
    <x v="20"/>
    <x v="3"/>
    <x v="6"/>
    <x v="1"/>
    <x v="2"/>
    <x v="1"/>
    <x v="1"/>
    <n v="36"/>
    <x v="4"/>
    <x v="6"/>
  </r>
  <r>
    <n v="3306"/>
    <x v="50"/>
    <x v="1"/>
    <x v="15"/>
    <x v="0"/>
    <n v="41"/>
    <s v="Nebraska"/>
    <x v="0"/>
    <x v="17"/>
    <x v="2"/>
    <x v="8"/>
    <x v="1"/>
    <x v="3"/>
    <x v="1"/>
    <x v="1"/>
    <n v="31"/>
    <x v="3"/>
    <x v="4"/>
  </r>
  <r>
    <n v="3307"/>
    <x v="6"/>
    <x v="1"/>
    <x v="14"/>
    <x v="2"/>
    <n v="39"/>
    <s v="Colorado"/>
    <x v="0"/>
    <x v="20"/>
    <x v="2"/>
    <x v="15"/>
    <x v="1"/>
    <x v="5"/>
    <x v="1"/>
    <x v="1"/>
    <n v="6"/>
    <x v="0"/>
    <x v="0"/>
  </r>
  <r>
    <n v="3308"/>
    <x v="20"/>
    <x v="1"/>
    <x v="18"/>
    <x v="3"/>
    <n v="36"/>
    <s v="Pennsylvania"/>
    <x v="1"/>
    <x v="14"/>
    <x v="0"/>
    <x v="17"/>
    <x v="1"/>
    <x v="5"/>
    <x v="1"/>
    <x v="1"/>
    <n v="1"/>
    <x v="1"/>
    <x v="5"/>
  </r>
  <r>
    <n v="3309"/>
    <x v="0"/>
    <x v="1"/>
    <x v="2"/>
    <x v="0"/>
    <n v="70"/>
    <s v="Utah"/>
    <x v="2"/>
    <x v="6"/>
    <x v="3"/>
    <x v="5"/>
    <x v="1"/>
    <x v="0"/>
    <x v="1"/>
    <x v="1"/>
    <n v="29"/>
    <x v="1"/>
    <x v="5"/>
  </r>
  <r>
    <n v="3310"/>
    <x v="39"/>
    <x v="1"/>
    <x v="8"/>
    <x v="3"/>
    <n v="47"/>
    <s v="Massachusetts"/>
    <x v="2"/>
    <x v="24"/>
    <x v="2"/>
    <x v="0"/>
    <x v="1"/>
    <x v="5"/>
    <x v="1"/>
    <x v="1"/>
    <n v="19"/>
    <x v="3"/>
    <x v="5"/>
  </r>
  <r>
    <n v="3311"/>
    <x v="4"/>
    <x v="1"/>
    <x v="14"/>
    <x v="2"/>
    <n v="27"/>
    <s v="Iowa"/>
    <x v="2"/>
    <x v="6"/>
    <x v="0"/>
    <x v="15"/>
    <x v="1"/>
    <x v="1"/>
    <x v="1"/>
    <x v="1"/>
    <n v="12"/>
    <x v="3"/>
    <x v="0"/>
  </r>
  <r>
    <n v="3312"/>
    <x v="26"/>
    <x v="1"/>
    <x v="19"/>
    <x v="3"/>
    <n v="52"/>
    <s v="Florida"/>
    <x v="0"/>
    <x v="24"/>
    <x v="2"/>
    <x v="17"/>
    <x v="1"/>
    <x v="0"/>
    <x v="1"/>
    <x v="1"/>
    <n v="18"/>
    <x v="4"/>
    <x v="2"/>
  </r>
  <r>
    <n v="3313"/>
    <x v="0"/>
    <x v="1"/>
    <x v="4"/>
    <x v="1"/>
    <n v="75"/>
    <s v="Louisiana"/>
    <x v="0"/>
    <x v="13"/>
    <x v="2"/>
    <x v="20"/>
    <x v="1"/>
    <x v="2"/>
    <x v="1"/>
    <x v="1"/>
    <n v="45"/>
    <x v="1"/>
    <x v="3"/>
  </r>
  <r>
    <n v="3314"/>
    <x v="0"/>
    <x v="1"/>
    <x v="19"/>
    <x v="3"/>
    <n v="30"/>
    <s v="Kansas"/>
    <x v="3"/>
    <x v="13"/>
    <x v="3"/>
    <x v="20"/>
    <x v="1"/>
    <x v="0"/>
    <x v="1"/>
    <x v="1"/>
    <n v="45"/>
    <x v="2"/>
    <x v="5"/>
  </r>
  <r>
    <n v="3315"/>
    <x v="0"/>
    <x v="1"/>
    <x v="20"/>
    <x v="0"/>
    <n v="94"/>
    <s v="Kansas"/>
    <x v="2"/>
    <x v="10"/>
    <x v="1"/>
    <x v="13"/>
    <x v="1"/>
    <x v="3"/>
    <x v="1"/>
    <x v="1"/>
    <n v="8"/>
    <x v="2"/>
    <x v="3"/>
  </r>
  <r>
    <n v="3316"/>
    <x v="39"/>
    <x v="1"/>
    <x v="18"/>
    <x v="3"/>
    <n v="68"/>
    <s v="Kentucky"/>
    <x v="1"/>
    <x v="9"/>
    <x v="2"/>
    <x v="3"/>
    <x v="1"/>
    <x v="3"/>
    <x v="1"/>
    <x v="1"/>
    <n v="4"/>
    <x v="3"/>
    <x v="6"/>
  </r>
  <r>
    <n v="3317"/>
    <x v="32"/>
    <x v="1"/>
    <x v="20"/>
    <x v="0"/>
    <n v="45"/>
    <s v="New Mexico"/>
    <x v="2"/>
    <x v="8"/>
    <x v="2"/>
    <x v="0"/>
    <x v="1"/>
    <x v="1"/>
    <x v="1"/>
    <x v="1"/>
    <n v="5"/>
    <x v="5"/>
    <x v="0"/>
  </r>
  <r>
    <n v="3318"/>
    <x v="3"/>
    <x v="1"/>
    <x v="19"/>
    <x v="3"/>
    <n v="67"/>
    <s v="North Carolina"/>
    <x v="3"/>
    <x v="6"/>
    <x v="2"/>
    <x v="10"/>
    <x v="1"/>
    <x v="3"/>
    <x v="1"/>
    <x v="1"/>
    <n v="30"/>
    <x v="1"/>
    <x v="3"/>
  </r>
  <r>
    <n v="3319"/>
    <x v="4"/>
    <x v="1"/>
    <x v="14"/>
    <x v="2"/>
    <n v="46"/>
    <s v="North Dakota"/>
    <x v="2"/>
    <x v="8"/>
    <x v="2"/>
    <x v="20"/>
    <x v="1"/>
    <x v="1"/>
    <x v="1"/>
    <x v="1"/>
    <n v="15"/>
    <x v="3"/>
    <x v="5"/>
  </r>
  <r>
    <n v="3320"/>
    <x v="51"/>
    <x v="1"/>
    <x v="6"/>
    <x v="0"/>
    <n v="31"/>
    <s v="North Dakota"/>
    <x v="2"/>
    <x v="21"/>
    <x v="2"/>
    <x v="24"/>
    <x v="1"/>
    <x v="2"/>
    <x v="1"/>
    <x v="1"/>
    <n v="17"/>
    <x v="2"/>
    <x v="6"/>
  </r>
  <r>
    <n v="3321"/>
    <x v="17"/>
    <x v="1"/>
    <x v="0"/>
    <x v="0"/>
    <n v="44"/>
    <s v="Illinois"/>
    <x v="3"/>
    <x v="5"/>
    <x v="3"/>
    <x v="19"/>
    <x v="1"/>
    <x v="4"/>
    <x v="1"/>
    <x v="1"/>
    <n v="45"/>
    <x v="1"/>
    <x v="6"/>
  </r>
  <r>
    <n v="3322"/>
    <x v="45"/>
    <x v="1"/>
    <x v="7"/>
    <x v="2"/>
    <n v="100"/>
    <s v="Maine"/>
    <x v="1"/>
    <x v="4"/>
    <x v="0"/>
    <x v="24"/>
    <x v="1"/>
    <x v="2"/>
    <x v="1"/>
    <x v="1"/>
    <n v="3"/>
    <x v="0"/>
    <x v="2"/>
  </r>
  <r>
    <n v="3323"/>
    <x v="16"/>
    <x v="1"/>
    <x v="1"/>
    <x v="0"/>
    <n v="92"/>
    <s v="Indiana"/>
    <x v="3"/>
    <x v="20"/>
    <x v="0"/>
    <x v="12"/>
    <x v="1"/>
    <x v="2"/>
    <x v="1"/>
    <x v="1"/>
    <n v="43"/>
    <x v="3"/>
    <x v="1"/>
  </r>
  <r>
    <n v="3324"/>
    <x v="22"/>
    <x v="1"/>
    <x v="8"/>
    <x v="3"/>
    <n v="78"/>
    <s v="North Dakota"/>
    <x v="2"/>
    <x v="22"/>
    <x v="0"/>
    <x v="22"/>
    <x v="1"/>
    <x v="1"/>
    <x v="1"/>
    <x v="1"/>
    <n v="4"/>
    <x v="2"/>
    <x v="5"/>
  </r>
  <r>
    <n v="3325"/>
    <x v="43"/>
    <x v="1"/>
    <x v="17"/>
    <x v="0"/>
    <n v="32"/>
    <s v="Missouri"/>
    <x v="1"/>
    <x v="16"/>
    <x v="3"/>
    <x v="13"/>
    <x v="1"/>
    <x v="3"/>
    <x v="1"/>
    <x v="1"/>
    <n v="41"/>
    <x v="0"/>
    <x v="1"/>
  </r>
  <r>
    <n v="3326"/>
    <x v="26"/>
    <x v="1"/>
    <x v="3"/>
    <x v="1"/>
    <n v="97"/>
    <s v="Alaska"/>
    <x v="2"/>
    <x v="1"/>
    <x v="3"/>
    <x v="18"/>
    <x v="1"/>
    <x v="4"/>
    <x v="1"/>
    <x v="1"/>
    <n v="16"/>
    <x v="0"/>
    <x v="5"/>
  </r>
  <r>
    <n v="3327"/>
    <x v="36"/>
    <x v="1"/>
    <x v="24"/>
    <x v="3"/>
    <n v="95"/>
    <s v="North Dakota"/>
    <x v="2"/>
    <x v="23"/>
    <x v="2"/>
    <x v="24"/>
    <x v="1"/>
    <x v="3"/>
    <x v="1"/>
    <x v="1"/>
    <n v="10"/>
    <x v="5"/>
    <x v="2"/>
  </r>
  <r>
    <n v="3328"/>
    <x v="36"/>
    <x v="1"/>
    <x v="6"/>
    <x v="0"/>
    <n v="64"/>
    <s v="Connecticut"/>
    <x v="2"/>
    <x v="13"/>
    <x v="1"/>
    <x v="7"/>
    <x v="1"/>
    <x v="0"/>
    <x v="1"/>
    <x v="1"/>
    <n v="2"/>
    <x v="5"/>
    <x v="3"/>
  </r>
  <r>
    <n v="3329"/>
    <x v="32"/>
    <x v="1"/>
    <x v="3"/>
    <x v="1"/>
    <n v="35"/>
    <s v="Wisconsin"/>
    <x v="2"/>
    <x v="10"/>
    <x v="1"/>
    <x v="4"/>
    <x v="1"/>
    <x v="1"/>
    <x v="1"/>
    <x v="1"/>
    <n v="11"/>
    <x v="1"/>
    <x v="4"/>
  </r>
  <r>
    <n v="3330"/>
    <x v="50"/>
    <x v="1"/>
    <x v="21"/>
    <x v="3"/>
    <n v="54"/>
    <s v="New Jersey"/>
    <x v="2"/>
    <x v="0"/>
    <x v="0"/>
    <x v="22"/>
    <x v="1"/>
    <x v="0"/>
    <x v="1"/>
    <x v="1"/>
    <n v="1"/>
    <x v="5"/>
    <x v="4"/>
  </r>
  <r>
    <n v="3331"/>
    <x v="21"/>
    <x v="1"/>
    <x v="4"/>
    <x v="1"/>
    <n v="96"/>
    <s v="Missouri"/>
    <x v="2"/>
    <x v="13"/>
    <x v="1"/>
    <x v="4"/>
    <x v="1"/>
    <x v="4"/>
    <x v="1"/>
    <x v="1"/>
    <n v="41"/>
    <x v="4"/>
    <x v="3"/>
  </r>
  <r>
    <n v="3332"/>
    <x v="0"/>
    <x v="1"/>
    <x v="12"/>
    <x v="3"/>
    <n v="58"/>
    <s v="California"/>
    <x v="2"/>
    <x v="6"/>
    <x v="2"/>
    <x v="1"/>
    <x v="1"/>
    <x v="1"/>
    <x v="1"/>
    <x v="1"/>
    <n v="39"/>
    <x v="3"/>
    <x v="3"/>
  </r>
  <r>
    <n v="3333"/>
    <x v="7"/>
    <x v="1"/>
    <x v="17"/>
    <x v="0"/>
    <n v="23"/>
    <s v="Washington"/>
    <x v="2"/>
    <x v="5"/>
    <x v="2"/>
    <x v="0"/>
    <x v="1"/>
    <x v="4"/>
    <x v="1"/>
    <x v="1"/>
    <n v="1"/>
    <x v="3"/>
    <x v="4"/>
  </r>
  <r>
    <n v="3334"/>
    <x v="0"/>
    <x v="1"/>
    <x v="2"/>
    <x v="0"/>
    <n v="35"/>
    <s v="Minnesota"/>
    <x v="2"/>
    <x v="10"/>
    <x v="1"/>
    <x v="19"/>
    <x v="1"/>
    <x v="0"/>
    <x v="1"/>
    <x v="1"/>
    <n v="3"/>
    <x v="3"/>
    <x v="5"/>
  </r>
  <r>
    <n v="3335"/>
    <x v="17"/>
    <x v="1"/>
    <x v="5"/>
    <x v="0"/>
    <n v="23"/>
    <s v="California"/>
    <x v="2"/>
    <x v="19"/>
    <x v="2"/>
    <x v="23"/>
    <x v="1"/>
    <x v="1"/>
    <x v="1"/>
    <x v="1"/>
    <n v="21"/>
    <x v="2"/>
    <x v="2"/>
  </r>
  <r>
    <n v="3336"/>
    <x v="42"/>
    <x v="1"/>
    <x v="19"/>
    <x v="3"/>
    <n v="94"/>
    <s v="Texas"/>
    <x v="3"/>
    <x v="17"/>
    <x v="0"/>
    <x v="1"/>
    <x v="1"/>
    <x v="0"/>
    <x v="1"/>
    <x v="1"/>
    <n v="48"/>
    <x v="4"/>
    <x v="3"/>
  </r>
  <r>
    <n v="3337"/>
    <x v="31"/>
    <x v="1"/>
    <x v="0"/>
    <x v="0"/>
    <n v="45"/>
    <s v="Montana"/>
    <x v="2"/>
    <x v="18"/>
    <x v="3"/>
    <x v="17"/>
    <x v="1"/>
    <x v="1"/>
    <x v="1"/>
    <x v="1"/>
    <n v="24"/>
    <x v="5"/>
    <x v="2"/>
  </r>
  <r>
    <n v="3338"/>
    <x v="51"/>
    <x v="1"/>
    <x v="14"/>
    <x v="2"/>
    <n v="23"/>
    <s v="Arizona"/>
    <x v="0"/>
    <x v="24"/>
    <x v="0"/>
    <x v="14"/>
    <x v="1"/>
    <x v="4"/>
    <x v="1"/>
    <x v="1"/>
    <n v="45"/>
    <x v="4"/>
    <x v="4"/>
  </r>
  <r>
    <n v="3339"/>
    <x v="26"/>
    <x v="1"/>
    <x v="11"/>
    <x v="0"/>
    <n v="94"/>
    <s v="Minnesota"/>
    <x v="0"/>
    <x v="3"/>
    <x v="0"/>
    <x v="3"/>
    <x v="1"/>
    <x v="4"/>
    <x v="1"/>
    <x v="1"/>
    <n v="46"/>
    <x v="2"/>
    <x v="5"/>
  </r>
  <r>
    <n v="3340"/>
    <x v="30"/>
    <x v="1"/>
    <x v="24"/>
    <x v="3"/>
    <n v="99"/>
    <s v="Nebraska"/>
    <x v="2"/>
    <x v="17"/>
    <x v="3"/>
    <x v="15"/>
    <x v="1"/>
    <x v="5"/>
    <x v="1"/>
    <x v="1"/>
    <n v="35"/>
    <x v="1"/>
    <x v="0"/>
  </r>
  <r>
    <n v="3341"/>
    <x v="32"/>
    <x v="1"/>
    <x v="17"/>
    <x v="0"/>
    <n v="36"/>
    <s v="Virginia"/>
    <x v="3"/>
    <x v="1"/>
    <x v="3"/>
    <x v="14"/>
    <x v="1"/>
    <x v="1"/>
    <x v="1"/>
    <x v="1"/>
    <n v="47"/>
    <x v="2"/>
    <x v="0"/>
  </r>
  <r>
    <n v="3342"/>
    <x v="0"/>
    <x v="1"/>
    <x v="14"/>
    <x v="2"/>
    <n v="50"/>
    <s v="Connecticut"/>
    <x v="3"/>
    <x v="8"/>
    <x v="2"/>
    <x v="9"/>
    <x v="1"/>
    <x v="3"/>
    <x v="1"/>
    <x v="1"/>
    <n v="35"/>
    <x v="2"/>
    <x v="5"/>
  </r>
  <r>
    <n v="3343"/>
    <x v="17"/>
    <x v="1"/>
    <x v="14"/>
    <x v="2"/>
    <n v="81"/>
    <s v="New Jersey"/>
    <x v="2"/>
    <x v="10"/>
    <x v="1"/>
    <x v="22"/>
    <x v="1"/>
    <x v="1"/>
    <x v="1"/>
    <x v="1"/>
    <n v="45"/>
    <x v="2"/>
    <x v="1"/>
  </r>
  <r>
    <n v="3344"/>
    <x v="41"/>
    <x v="1"/>
    <x v="6"/>
    <x v="0"/>
    <n v="31"/>
    <s v="Kentucky"/>
    <x v="3"/>
    <x v="14"/>
    <x v="0"/>
    <x v="15"/>
    <x v="1"/>
    <x v="4"/>
    <x v="1"/>
    <x v="1"/>
    <n v="6"/>
    <x v="1"/>
    <x v="4"/>
  </r>
  <r>
    <n v="3345"/>
    <x v="46"/>
    <x v="1"/>
    <x v="19"/>
    <x v="3"/>
    <n v="48"/>
    <s v="Washington"/>
    <x v="3"/>
    <x v="23"/>
    <x v="3"/>
    <x v="24"/>
    <x v="1"/>
    <x v="1"/>
    <x v="1"/>
    <x v="1"/>
    <n v="20"/>
    <x v="1"/>
    <x v="2"/>
  </r>
  <r>
    <n v="3346"/>
    <x v="48"/>
    <x v="1"/>
    <x v="8"/>
    <x v="3"/>
    <n v="91"/>
    <s v="Florida"/>
    <x v="2"/>
    <x v="2"/>
    <x v="2"/>
    <x v="17"/>
    <x v="1"/>
    <x v="4"/>
    <x v="1"/>
    <x v="1"/>
    <n v="3"/>
    <x v="0"/>
    <x v="4"/>
  </r>
  <r>
    <n v="3347"/>
    <x v="11"/>
    <x v="1"/>
    <x v="2"/>
    <x v="0"/>
    <n v="99"/>
    <s v="Oklahoma"/>
    <x v="2"/>
    <x v="13"/>
    <x v="2"/>
    <x v="23"/>
    <x v="1"/>
    <x v="0"/>
    <x v="1"/>
    <x v="1"/>
    <n v="30"/>
    <x v="0"/>
    <x v="3"/>
  </r>
  <r>
    <n v="3348"/>
    <x v="40"/>
    <x v="1"/>
    <x v="9"/>
    <x v="1"/>
    <n v="70"/>
    <s v="Iowa"/>
    <x v="3"/>
    <x v="17"/>
    <x v="2"/>
    <x v="14"/>
    <x v="1"/>
    <x v="3"/>
    <x v="1"/>
    <x v="1"/>
    <n v="28"/>
    <x v="3"/>
    <x v="4"/>
  </r>
  <r>
    <n v="3349"/>
    <x v="48"/>
    <x v="1"/>
    <x v="17"/>
    <x v="0"/>
    <n v="74"/>
    <s v="New Hampshire"/>
    <x v="0"/>
    <x v="0"/>
    <x v="0"/>
    <x v="11"/>
    <x v="1"/>
    <x v="3"/>
    <x v="1"/>
    <x v="1"/>
    <n v="15"/>
    <x v="1"/>
    <x v="6"/>
  </r>
  <r>
    <n v="3350"/>
    <x v="25"/>
    <x v="1"/>
    <x v="16"/>
    <x v="3"/>
    <n v="79"/>
    <s v="Georgia"/>
    <x v="2"/>
    <x v="16"/>
    <x v="3"/>
    <x v="11"/>
    <x v="1"/>
    <x v="5"/>
    <x v="1"/>
    <x v="1"/>
    <n v="29"/>
    <x v="3"/>
    <x v="3"/>
  </r>
  <r>
    <n v="3351"/>
    <x v="4"/>
    <x v="1"/>
    <x v="8"/>
    <x v="3"/>
    <n v="33"/>
    <s v="Mississippi"/>
    <x v="1"/>
    <x v="8"/>
    <x v="3"/>
    <x v="8"/>
    <x v="1"/>
    <x v="4"/>
    <x v="1"/>
    <x v="1"/>
    <n v="15"/>
    <x v="1"/>
    <x v="4"/>
  </r>
  <r>
    <n v="3352"/>
    <x v="49"/>
    <x v="1"/>
    <x v="5"/>
    <x v="0"/>
    <n v="49"/>
    <s v="New Hampshire"/>
    <x v="0"/>
    <x v="17"/>
    <x v="1"/>
    <x v="19"/>
    <x v="1"/>
    <x v="4"/>
    <x v="1"/>
    <x v="1"/>
    <n v="18"/>
    <x v="4"/>
    <x v="0"/>
  </r>
  <r>
    <n v="3353"/>
    <x v="0"/>
    <x v="1"/>
    <x v="22"/>
    <x v="3"/>
    <n v="96"/>
    <s v="Washington"/>
    <x v="2"/>
    <x v="11"/>
    <x v="2"/>
    <x v="3"/>
    <x v="1"/>
    <x v="2"/>
    <x v="1"/>
    <x v="1"/>
    <n v="7"/>
    <x v="4"/>
    <x v="4"/>
  </r>
  <r>
    <n v="3354"/>
    <x v="18"/>
    <x v="1"/>
    <x v="10"/>
    <x v="0"/>
    <n v="66"/>
    <s v="Ohio"/>
    <x v="0"/>
    <x v="11"/>
    <x v="3"/>
    <x v="12"/>
    <x v="1"/>
    <x v="1"/>
    <x v="1"/>
    <x v="1"/>
    <n v="19"/>
    <x v="2"/>
    <x v="6"/>
  </r>
  <r>
    <n v="3355"/>
    <x v="32"/>
    <x v="1"/>
    <x v="11"/>
    <x v="0"/>
    <n v="45"/>
    <s v="Maryland"/>
    <x v="2"/>
    <x v="20"/>
    <x v="3"/>
    <x v="11"/>
    <x v="1"/>
    <x v="2"/>
    <x v="1"/>
    <x v="1"/>
    <n v="15"/>
    <x v="3"/>
    <x v="1"/>
  </r>
  <r>
    <n v="3356"/>
    <x v="37"/>
    <x v="1"/>
    <x v="0"/>
    <x v="0"/>
    <n v="28"/>
    <s v="Delaware"/>
    <x v="2"/>
    <x v="15"/>
    <x v="1"/>
    <x v="5"/>
    <x v="1"/>
    <x v="5"/>
    <x v="1"/>
    <x v="1"/>
    <n v="3"/>
    <x v="4"/>
    <x v="4"/>
  </r>
  <r>
    <n v="3357"/>
    <x v="31"/>
    <x v="1"/>
    <x v="2"/>
    <x v="0"/>
    <n v="48"/>
    <s v="Tennessee"/>
    <x v="2"/>
    <x v="5"/>
    <x v="2"/>
    <x v="1"/>
    <x v="1"/>
    <x v="5"/>
    <x v="1"/>
    <x v="1"/>
    <n v="13"/>
    <x v="3"/>
    <x v="4"/>
  </r>
  <r>
    <n v="3358"/>
    <x v="38"/>
    <x v="1"/>
    <x v="15"/>
    <x v="0"/>
    <n v="67"/>
    <s v="Arkansas"/>
    <x v="2"/>
    <x v="6"/>
    <x v="0"/>
    <x v="1"/>
    <x v="1"/>
    <x v="1"/>
    <x v="1"/>
    <x v="1"/>
    <n v="37"/>
    <x v="2"/>
    <x v="5"/>
  </r>
  <r>
    <n v="3359"/>
    <x v="19"/>
    <x v="1"/>
    <x v="17"/>
    <x v="0"/>
    <n v="59"/>
    <s v="Tennessee"/>
    <x v="2"/>
    <x v="23"/>
    <x v="3"/>
    <x v="23"/>
    <x v="1"/>
    <x v="4"/>
    <x v="1"/>
    <x v="1"/>
    <n v="26"/>
    <x v="1"/>
    <x v="2"/>
  </r>
  <r>
    <n v="3360"/>
    <x v="49"/>
    <x v="1"/>
    <x v="12"/>
    <x v="3"/>
    <n v="74"/>
    <s v="New Hampshire"/>
    <x v="0"/>
    <x v="16"/>
    <x v="3"/>
    <x v="20"/>
    <x v="1"/>
    <x v="2"/>
    <x v="1"/>
    <x v="1"/>
    <n v="29"/>
    <x v="5"/>
    <x v="5"/>
  </r>
  <r>
    <n v="3361"/>
    <x v="40"/>
    <x v="1"/>
    <x v="14"/>
    <x v="2"/>
    <n v="81"/>
    <s v="Minnesota"/>
    <x v="2"/>
    <x v="1"/>
    <x v="1"/>
    <x v="13"/>
    <x v="1"/>
    <x v="4"/>
    <x v="1"/>
    <x v="1"/>
    <n v="47"/>
    <x v="1"/>
    <x v="6"/>
  </r>
  <r>
    <n v="3362"/>
    <x v="36"/>
    <x v="1"/>
    <x v="9"/>
    <x v="1"/>
    <n v="26"/>
    <s v="Florida"/>
    <x v="2"/>
    <x v="5"/>
    <x v="1"/>
    <x v="7"/>
    <x v="1"/>
    <x v="1"/>
    <x v="1"/>
    <x v="1"/>
    <n v="47"/>
    <x v="2"/>
    <x v="4"/>
  </r>
  <r>
    <n v="3363"/>
    <x v="2"/>
    <x v="1"/>
    <x v="8"/>
    <x v="3"/>
    <n v="61"/>
    <s v="Tennessee"/>
    <x v="2"/>
    <x v="0"/>
    <x v="2"/>
    <x v="21"/>
    <x v="1"/>
    <x v="2"/>
    <x v="1"/>
    <x v="1"/>
    <n v="48"/>
    <x v="0"/>
    <x v="0"/>
  </r>
  <r>
    <n v="3364"/>
    <x v="44"/>
    <x v="1"/>
    <x v="1"/>
    <x v="0"/>
    <n v="23"/>
    <s v="California"/>
    <x v="2"/>
    <x v="2"/>
    <x v="0"/>
    <x v="21"/>
    <x v="1"/>
    <x v="2"/>
    <x v="1"/>
    <x v="1"/>
    <n v="46"/>
    <x v="4"/>
    <x v="4"/>
  </r>
  <r>
    <n v="3365"/>
    <x v="2"/>
    <x v="1"/>
    <x v="18"/>
    <x v="3"/>
    <n v="33"/>
    <s v="Oregon"/>
    <x v="2"/>
    <x v="15"/>
    <x v="3"/>
    <x v="4"/>
    <x v="1"/>
    <x v="3"/>
    <x v="1"/>
    <x v="1"/>
    <n v="7"/>
    <x v="2"/>
    <x v="5"/>
  </r>
  <r>
    <n v="3366"/>
    <x v="49"/>
    <x v="1"/>
    <x v="11"/>
    <x v="0"/>
    <n v="58"/>
    <s v="Tennessee"/>
    <x v="0"/>
    <x v="11"/>
    <x v="3"/>
    <x v="20"/>
    <x v="1"/>
    <x v="0"/>
    <x v="1"/>
    <x v="1"/>
    <n v="45"/>
    <x v="2"/>
    <x v="6"/>
  </r>
  <r>
    <n v="3367"/>
    <x v="21"/>
    <x v="1"/>
    <x v="24"/>
    <x v="3"/>
    <n v="65"/>
    <s v="North Carolina"/>
    <x v="2"/>
    <x v="16"/>
    <x v="1"/>
    <x v="15"/>
    <x v="1"/>
    <x v="4"/>
    <x v="1"/>
    <x v="1"/>
    <n v="47"/>
    <x v="5"/>
    <x v="3"/>
  </r>
  <r>
    <n v="3368"/>
    <x v="42"/>
    <x v="1"/>
    <x v="17"/>
    <x v="0"/>
    <n v="48"/>
    <s v="Tennessee"/>
    <x v="2"/>
    <x v="24"/>
    <x v="2"/>
    <x v="0"/>
    <x v="1"/>
    <x v="5"/>
    <x v="1"/>
    <x v="1"/>
    <n v="6"/>
    <x v="0"/>
    <x v="0"/>
  </r>
  <r>
    <n v="3369"/>
    <x v="11"/>
    <x v="1"/>
    <x v="3"/>
    <x v="1"/>
    <n v="25"/>
    <s v="Nebraska"/>
    <x v="2"/>
    <x v="24"/>
    <x v="1"/>
    <x v="6"/>
    <x v="1"/>
    <x v="0"/>
    <x v="1"/>
    <x v="1"/>
    <n v="29"/>
    <x v="4"/>
    <x v="6"/>
  </r>
  <r>
    <n v="3370"/>
    <x v="36"/>
    <x v="1"/>
    <x v="1"/>
    <x v="0"/>
    <n v="51"/>
    <s v="Maine"/>
    <x v="2"/>
    <x v="21"/>
    <x v="0"/>
    <x v="22"/>
    <x v="1"/>
    <x v="4"/>
    <x v="1"/>
    <x v="1"/>
    <n v="42"/>
    <x v="1"/>
    <x v="5"/>
  </r>
  <r>
    <n v="3371"/>
    <x v="11"/>
    <x v="1"/>
    <x v="22"/>
    <x v="3"/>
    <n v="31"/>
    <s v="Illinois"/>
    <x v="2"/>
    <x v="4"/>
    <x v="2"/>
    <x v="11"/>
    <x v="1"/>
    <x v="5"/>
    <x v="1"/>
    <x v="1"/>
    <n v="46"/>
    <x v="1"/>
    <x v="0"/>
  </r>
  <r>
    <n v="3372"/>
    <x v="34"/>
    <x v="1"/>
    <x v="15"/>
    <x v="0"/>
    <n v="99"/>
    <s v="Colorado"/>
    <x v="1"/>
    <x v="2"/>
    <x v="0"/>
    <x v="17"/>
    <x v="1"/>
    <x v="2"/>
    <x v="1"/>
    <x v="1"/>
    <n v="28"/>
    <x v="3"/>
    <x v="2"/>
  </r>
  <r>
    <n v="3373"/>
    <x v="19"/>
    <x v="1"/>
    <x v="20"/>
    <x v="0"/>
    <n v="25"/>
    <s v="Pennsylvania"/>
    <x v="2"/>
    <x v="1"/>
    <x v="0"/>
    <x v="12"/>
    <x v="1"/>
    <x v="1"/>
    <x v="1"/>
    <x v="1"/>
    <n v="14"/>
    <x v="2"/>
    <x v="6"/>
  </r>
  <r>
    <n v="3374"/>
    <x v="27"/>
    <x v="1"/>
    <x v="3"/>
    <x v="1"/>
    <n v="52"/>
    <s v="Minnesota"/>
    <x v="2"/>
    <x v="7"/>
    <x v="1"/>
    <x v="1"/>
    <x v="1"/>
    <x v="5"/>
    <x v="1"/>
    <x v="1"/>
    <n v="12"/>
    <x v="5"/>
    <x v="6"/>
  </r>
  <r>
    <n v="3375"/>
    <x v="40"/>
    <x v="1"/>
    <x v="0"/>
    <x v="0"/>
    <n v="47"/>
    <s v="Nevada"/>
    <x v="1"/>
    <x v="12"/>
    <x v="1"/>
    <x v="18"/>
    <x v="1"/>
    <x v="4"/>
    <x v="1"/>
    <x v="1"/>
    <n v="41"/>
    <x v="5"/>
    <x v="2"/>
  </r>
  <r>
    <n v="3376"/>
    <x v="47"/>
    <x v="1"/>
    <x v="23"/>
    <x v="1"/>
    <n v="98"/>
    <s v="Connecticut"/>
    <x v="3"/>
    <x v="22"/>
    <x v="3"/>
    <x v="8"/>
    <x v="1"/>
    <x v="0"/>
    <x v="1"/>
    <x v="1"/>
    <n v="8"/>
    <x v="2"/>
    <x v="2"/>
  </r>
  <r>
    <n v="3377"/>
    <x v="40"/>
    <x v="1"/>
    <x v="19"/>
    <x v="3"/>
    <n v="46"/>
    <s v="Ohio"/>
    <x v="2"/>
    <x v="14"/>
    <x v="0"/>
    <x v="7"/>
    <x v="1"/>
    <x v="5"/>
    <x v="1"/>
    <x v="1"/>
    <n v="24"/>
    <x v="1"/>
    <x v="3"/>
  </r>
  <r>
    <n v="3378"/>
    <x v="43"/>
    <x v="1"/>
    <x v="5"/>
    <x v="0"/>
    <n v="32"/>
    <s v="Kentucky"/>
    <x v="2"/>
    <x v="22"/>
    <x v="0"/>
    <x v="12"/>
    <x v="1"/>
    <x v="2"/>
    <x v="1"/>
    <x v="1"/>
    <n v="18"/>
    <x v="3"/>
    <x v="0"/>
  </r>
  <r>
    <n v="3379"/>
    <x v="34"/>
    <x v="1"/>
    <x v="6"/>
    <x v="0"/>
    <n v="75"/>
    <s v="Minnesota"/>
    <x v="0"/>
    <x v="9"/>
    <x v="3"/>
    <x v="9"/>
    <x v="1"/>
    <x v="2"/>
    <x v="1"/>
    <x v="1"/>
    <n v="6"/>
    <x v="1"/>
    <x v="3"/>
  </r>
  <r>
    <n v="3380"/>
    <x v="12"/>
    <x v="1"/>
    <x v="8"/>
    <x v="3"/>
    <n v="51"/>
    <s v="Tennessee"/>
    <x v="0"/>
    <x v="2"/>
    <x v="2"/>
    <x v="16"/>
    <x v="1"/>
    <x v="5"/>
    <x v="1"/>
    <x v="1"/>
    <n v="40"/>
    <x v="1"/>
    <x v="1"/>
  </r>
  <r>
    <n v="3381"/>
    <x v="38"/>
    <x v="1"/>
    <x v="10"/>
    <x v="0"/>
    <n v="52"/>
    <s v="North Dakota"/>
    <x v="0"/>
    <x v="24"/>
    <x v="2"/>
    <x v="22"/>
    <x v="1"/>
    <x v="3"/>
    <x v="1"/>
    <x v="1"/>
    <n v="6"/>
    <x v="3"/>
    <x v="6"/>
  </r>
  <r>
    <n v="3382"/>
    <x v="9"/>
    <x v="1"/>
    <x v="19"/>
    <x v="3"/>
    <n v="66"/>
    <s v="Minnesota"/>
    <x v="0"/>
    <x v="2"/>
    <x v="0"/>
    <x v="10"/>
    <x v="1"/>
    <x v="3"/>
    <x v="1"/>
    <x v="1"/>
    <n v="27"/>
    <x v="2"/>
    <x v="3"/>
  </r>
  <r>
    <n v="3383"/>
    <x v="50"/>
    <x v="1"/>
    <x v="1"/>
    <x v="0"/>
    <n v="35"/>
    <s v="Nebraska"/>
    <x v="2"/>
    <x v="1"/>
    <x v="1"/>
    <x v="11"/>
    <x v="1"/>
    <x v="0"/>
    <x v="1"/>
    <x v="1"/>
    <n v="2"/>
    <x v="4"/>
    <x v="1"/>
  </r>
  <r>
    <n v="3384"/>
    <x v="7"/>
    <x v="1"/>
    <x v="7"/>
    <x v="2"/>
    <n v="43"/>
    <s v="Delaware"/>
    <x v="2"/>
    <x v="6"/>
    <x v="3"/>
    <x v="5"/>
    <x v="1"/>
    <x v="2"/>
    <x v="1"/>
    <x v="1"/>
    <n v="39"/>
    <x v="0"/>
    <x v="4"/>
  </r>
  <r>
    <n v="3385"/>
    <x v="31"/>
    <x v="1"/>
    <x v="15"/>
    <x v="0"/>
    <n v="24"/>
    <s v="Minnesota"/>
    <x v="0"/>
    <x v="1"/>
    <x v="2"/>
    <x v="22"/>
    <x v="1"/>
    <x v="1"/>
    <x v="1"/>
    <x v="1"/>
    <n v="9"/>
    <x v="0"/>
    <x v="3"/>
  </r>
  <r>
    <n v="3386"/>
    <x v="46"/>
    <x v="1"/>
    <x v="16"/>
    <x v="3"/>
    <n v="83"/>
    <s v="Rhode Island"/>
    <x v="2"/>
    <x v="8"/>
    <x v="0"/>
    <x v="11"/>
    <x v="1"/>
    <x v="3"/>
    <x v="1"/>
    <x v="1"/>
    <n v="16"/>
    <x v="2"/>
    <x v="6"/>
  </r>
  <r>
    <n v="3387"/>
    <x v="50"/>
    <x v="1"/>
    <x v="17"/>
    <x v="0"/>
    <n v="62"/>
    <s v="Michigan"/>
    <x v="2"/>
    <x v="12"/>
    <x v="3"/>
    <x v="5"/>
    <x v="1"/>
    <x v="4"/>
    <x v="1"/>
    <x v="1"/>
    <n v="36"/>
    <x v="1"/>
    <x v="3"/>
  </r>
  <r>
    <n v="3388"/>
    <x v="10"/>
    <x v="1"/>
    <x v="13"/>
    <x v="0"/>
    <n v="78"/>
    <s v="New Jersey"/>
    <x v="1"/>
    <x v="6"/>
    <x v="1"/>
    <x v="23"/>
    <x v="1"/>
    <x v="4"/>
    <x v="1"/>
    <x v="1"/>
    <n v="2"/>
    <x v="2"/>
    <x v="4"/>
  </r>
  <r>
    <n v="3389"/>
    <x v="25"/>
    <x v="1"/>
    <x v="1"/>
    <x v="0"/>
    <n v="61"/>
    <s v="South Dakota"/>
    <x v="2"/>
    <x v="17"/>
    <x v="1"/>
    <x v="9"/>
    <x v="1"/>
    <x v="5"/>
    <x v="1"/>
    <x v="1"/>
    <n v="21"/>
    <x v="2"/>
    <x v="1"/>
  </r>
  <r>
    <n v="3390"/>
    <x v="21"/>
    <x v="1"/>
    <x v="13"/>
    <x v="0"/>
    <n v="57"/>
    <s v="North Carolina"/>
    <x v="0"/>
    <x v="1"/>
    <x v="3"/>
    <x v="22"/>
    <x v="1"/>
    <x v="1"/>
    <x v="1"/>
    <x v="1"/>
    <n v="39"/>
    <x v="0"/>
    <x v="2"/>
  </r>
  <r>
    <n v="3391"/>
    <x v="45"/>
    <x v="1"/>
    <x v="20"/>
    <x v="0"/>
    <n v="70"/>
    <s v="Oregon"/>
    <x v="1"/>
    <x v="16"/>
    <x v="2"/>
    <x v="21"/>
    <x v="1"/>
    <x v="2"/>
    <x v="1"/>
    <x v="1"/>
    <n v="38"/>
    <x v="3"/>
    <x v="2"/>
  </r>
  <r>
    <n v="3392"/>
    <x v="36"/>
    <x v="1"/>
    <x v="15"/>
    <x v="0"/>
    <n v="57"/>
    <s v="Montana"/>
    <x v="2"/>
    <x v="5"/>
    <x v="3"/>
    <x v="18"/>
    <x v="1"/>
    <x v="4"/>
    <x v="1"/>
    <x v="1"/>
    <n v="6"/>
    <x v="5"/>
    <x v="6"/>
  </r>
  <r>
    <n v="3393"/>
    <x v="10"/>
    <x v="1"/>
    <x v="18"/>
    <x v="3"/>
    <n v="74"/>
    <s v="New Jersey"/>
    <x v="3"/>
    <x v="24"/>
    <x v="0"/>
    <x v="14"/>
    <x v="1"/>
    <x v="1"/>
    <x v="1"/>
    <x v="1"/>
    <n v="6"/>
    <x v="0"/>
    <x v="4"/>
  </r>
  <r>
    <n v="3394"/>
    <x v="52"/>
    <x v="1"/>
    <x v="10"/>
    <x v="0"/>
    <n v="90"/>
    <s v="Arizona"/>
    <x v="2"/>
    <x v="9"/>
    <x v="3"/>
    <x v="0"/>
    <x v="1"/>
    <x v="2"/>
    <x v="1"/>
    <x v="1"/>
    <n v="50"/>
    <x v="5"/>
    <x v="5"/>
  </r>
  <r>
    <n v="3395"/>
    <x v="18"/>
    <x v="1"/>
    <x v="3"/>
    <x v="1"/>
    <n v="98"/>
    <s v="Vermont"/>
    <x v="1"/>
    <x v="22"/>
    <x v="1"/>
    <x v="19"/>
    <x v="1"/>
    <x v="5"/>
    <x v="1"/>
    <x v="1"/>
    <n v="9"/>
    <x v="3"/>
    <x v="2"/>
  </r>
  <r>
    <n v="3396"/>
    <x v="42"/>
    <x v="1"/>
    <x v="10"/>
    <x v="0"/>
    <n v="43"/>
    <s v="Colorado"/>
    <x v="2"/>
    <x v="5"/>
    <x v="0"/>
    <x v="0"/>
    <x v="1"/>
    <x v="1"/>
    <x v="1"/>
    <x v="1"/>
    <n v="15"/>
    <x v="5"/>
    <x v="6"/>
  </r>
  <r>
    <n v="3397"/>
    <x v="26"/>
    <x v="1"/>
    <x v="13"/>
    <x v="0"/>
    <n v="37"/>
    <s v="Tennessee"/>
    <x v="3"/>
    <x v="13"/>
    <x v="0"/>
    <x v="16"/>
    <x v="1"/>
    <x v="2"/>
    <x v="1"/>
    <x v="1"/>
    <n v="5"/>
    <x v="3"/>
    <x v="3"/>
  </r>
  <r>
    <n v="3398"/>
    <x v="1"/>
    <x v="1"/>
    <x v="0"/>
    <x v="0"/>
    <n v="38"/>
    <s v="New Jersey"/>
    <x v="0"/>
    <x v="22"/>
    <x v="2"/>
    <x v="2"/>
    <x v="1"/>
    <x v="3"/>
    <x v="1"/>
    <x v="1"/>
    <n v="13"/>
    <x v="4"/>
    <x v="4"/>
  </r>
  <r>
    <n v="3399"/>
    <x v="22"/>
    <x v="1"/>
    <x v="2"/>
    <x v="0"/>
    <n v="60"/>
    <s v="Montana"/>
    <x v="0"/>
    <x v="6"/>
    <x v="0"/>
    <x v="22"/>
    <x v="1"/>
    <x v="3"/>
    <x v="1"/>
    <x v="1"/>
    <n v="44"/>
    <x v="1"/>
    <x v="0"/>
  </r>
  <r>
    <n v="3400"/>
    <x v="37"/>
    <x v="1"/>
    <x v="13"/>
    <x v="0"/>
    <n v="55"/>
    <s v="Montana"/>
    <x v="3"/>
    <x v="22"/>
    <x v="0"/>
    <x v="13"/>
    <x v="1"/>
    <x v="3"/>
    <x v="1"/>
    <x v="1"/>
    <n v="36"/>
    <x v="5"/>
    <x v="2"/>
  </r>
  <r>
    <n v="3401"/>
    <x v="31"/>
    <x v="1"/>
    <x v="12"/>
    <x v="3"/>
    <n v="51"/>
    <s v="Nevada"/>
    <x v="2"/>
    <x v="12"/>
    <x v="3"/>
    <x v="6"/>
    <x v="1"/>
    <x v="1"/>
    <x v="1"/>
    <x v="1"/>
    <n v="18"/>
    <x v="0"/>
    <x v="0"/>
  </r>
  <r>
    <n v="3402"/>
    <x v="42"/>
    <x v="1"/>
    <x v="21"/>
    <x v="3"/>
    <n v="71"/>
    <s v="Nevada"/>
    <x v="0"/>
    <x v="15"/>
    <x v="0"/>
    <x v="23"/>
    <x v="1"/>
    <x v="3"/>
    <x v="1"/>
    <x v="1"/>
    <n v="39"/>
    <x v="2"/>
    <x v="1"/>
  </r>
  <r>
    <n v="3403"/>
    <x v="40"/>
    <x v="1"/>
    <x v="15"/>
    <x v="0"/>
    <n v="61"/>
    <s v="Louisiana"/>
    <x v="2"/>
    <x v="13"/>
    <x v="1"/>
    <x v="14"/>
    <x v="1"/>
    <x v="4"/>
    <x v="1"/>
    <x v="1"/>
    <n v="11"/>
    <x v="3"/>
    <x v="6"/>
  </r>
  <r>
    <n v="3404"/>
    <x v="11"/>
    <x v="1"/>
    <x v="23"/>
    <x v="1"/>
    <n v="65"/>
    <s v="Illinois"/>
    <x v="2"/>
    <x v="8"/>
    <x v="2"/>
    <x v="20"/>
    <x v="1"/>
    <x v="3"/>
    <x v="1"/>
    <x v="1"/>
    <n v="1"/>
    <x v="1"/>
    <x v="4"/>
  </r>
  <r>
    <n v="3405"/>
    <x v="28"/>
    <x v="1"/>
    <x v="24"/>
    <x v="3"/>
    <n v="34"/>
    <s v="South Carolina"/>
    <x v="0"/>
    <x v="8"/>
    <x v="3"/>
    <x v="20"/>
    <x v="1"/>
    <x v="4"/>
    <x v="1"/>
    <x v="1"/>
    <n v="34"/>
    <x v="2"/>
    <x v="2"/>
  </r>
  <r>
    <n v="3406"/>
    <x v="48"/>
    <x v="1"/>
    <x v="0"/>
    <x v="0"/>
    <n v="87"/>
    <s v="Washington"/>
    <x v="2"/>
    <x v="3"/>
    <x v="2"/>
    <x v="19"/>
    <x v="1"/>
    <x v="5"/>
    <x v="1"/>
    <x v="1"/>
    <n v="47"/>
    <x v="4"/>
    <x v="4"/>
  </r>
  <r>
    <n v="3407"/>
    <x v="9"/>
    <x v="1"/>
    <x v="1"/>
    <x v="0"/>
    <n v="79"/>
    <s v="Nebraska"/>
    <x v="2"/>
    <x v="16"/>
    <x v="1"/>
    <x v="17"/>
    <x v="1"/>
    <x v="5"/>
    <x v="1"/>
    <x v="1"/>
    <n v="24"/>
    <x v="0"/>
    <x v="3"/>
  </r>
  <r>
    <n v="3408"/>
    <x v="5"/>
    <x v="1"/>
    <x v="10"/>
    <x v="0"/>
    <n v="46"/>
    <s v="Alabama"/>
    <x v="1"/>
    <x v="7"/>
    <x v="1"/>
    <x v="5"/>
    <x v="1"/>
    <x v="5"/>
    <x v="1"/>
    <x v="1"/>
    <n v="20"/>
    <x v="1"/>
    <x v="3"/>
  </r>
  <r>
    <n v="3409"/>
    <x v="39"/>
    <x v="1"/>
    <x v="20"/>
    <x v="0"/>
    <n v="72"/>
    <s v="Montana"/>
    <x v="0"/>
    <x v="7"/>
    <x v="2"/>
    <x v="14"/>
    <x v="1"/>
    <x v="3"/>
    <x v="1"/>
    <x v="1"/>
    <n v="11"/>
    <x v="4"/>
    <x v="2"/>
  </r>
  <r>
    <n v="3410"/>
    <x v="41"/>
    <x v="1"/>
    <x v="5"/>
    <x v="0"/>
    <n v="93"/>
    <s v="Minnesota"/>
    <x v="2"/>
    <x v="11"/>
    <x v="2"/>
    <x v="4"/>
    <x v="1"/>
    <x v="2"/>
    <x v="1"/>
    <x v="1"/>
    <n v="3"/>
    <x v="2"/>
    <x v="6"/>
  </r>
  <r>
    <n v="3411"/>
    <x v="2"/>
    <x v="1"/>
    <x v="3"/>
    <x v="1"/>
    <n v="76"/>
    <s v="Ohio"/>
    <x v="0"/>
    <x v="11"/>
    <x v="2"/>
    <x v="24"/>
    <x v="1"/>
    <x v="1"/>
    <x v="1"/>
    <x v="1"/>
    <n v="38"/>
    <x v="4"/>
    <x v="4"/>
  </r>
  <r>
    <n v="3412"/>
    <x v="26"/>
    <x v="1"/>
    <x v="9"/>
    <x v="1"/>
    <n v="56"/>
    <s v="New York"/>
    <x v="0"/>
    <x v="0"/>
    <x v="0"/>
    <x v="8"/>
    <x v="1"/>
    <x v="4"/>
    <x v="1"/>
    <x v="1"/>
    <n v="45"/>
    <x v="1"/>
    <x v="1"/>
  </r>
  <r>
    <n v="3413"/>
    <x v="12"/>
    <x v="1"/>
    <x v="3"/>
    <x v="1"/>
    <n v="83"/>
    <s v="Indiana"/>
    <x v="2"/>
    <x v="23"/>
    <x v="3"/>
    <x v="22"/>
    <x v="1"/>
    <x v="5"/>
    <x v="1"/>
    <x v="1"/>
    <n v="31"/>
    <x v="0"/>
    <x v="3"/>
  </r>
  <r>
    <n v="3414"/>
    <x v="50"/>
    <x v="1"/>
    <x v="24"/>
    <x v="3"/>
    <n v="90"/>
    <s v="Delaware"/>
    <x v="3"/>
    <x v="13"/>
    <x v="0"/>
    <x v="25"/>
    <x v="1"/>
    <x v="0"/>
    <x v="1"/>
    <x v="1"/>
    <n v="16"/>
    <x v="3"/>
    <x v="4"/>
  </r>
  <r>
    <n v="3415"/>
    <x v="7"/>
    <x v="1"/>
    <x v="23"/>
    <x v="1"/>
    <n v="94"/>
    <s v="Connecticut"/>
    <x v="2"/>
    <x v="1"/>
    <x v="1"/>
    <x v="8"/>
    <x v="1"/>
    <x v="2"/>
    <x v="1"/>
    <x v="1"/>
    <n v="3"/>
    <x v="4"/>
    <x v="3"/>
  </r>
  <r>
    <n v="3416"/>
    <x v="21"/>
    <x v="1"/>
    <x v="0"/>
    <x v="0"/>
    <n v="68"/>
    <s v="New York"/>
    <x v="2"/>
    <x v="9"/>
    <x v="3"/>
    <x v="21"/>
    <x v="1"/>
    <x v="4"/>
    <x v="1"/>
    <x v="1"/>
    <n v="15"/>
    <x v="4"/>
    <x v="2"/>
  </r>
  <r>
    <n v="3417"/>
    <x v="15"/>
    <x v="1"/>
    <x v="3"/>
    <x v="1"/>
    <n v="53"/>
    <s v="Alabama"/>
    <x v="2"/>
    <x v="7"/>
    <x v="1"/>
    <x v="4"/>
    <x v="1"/>
    <x v="5"/>
    <x v="1"/>
    <x v="1"/>
    <n v="11"/>
    <x v="4"/>
    <x v="6"/>
  </r>
  <r>
    <n v="3418"/>
    <x v="22"/>
    <x v="1"/>
    <x v="7"/>
    <x v="2"/>
    <n v="35"/>
    <s v="Massachusetts"/>
    <x v="2"/>
    <x v="24"/>
    <x v="2"/>
    <x v="3"/>
    <x v="1"/>
    <x v="4"/>
    <x v="1"/>
    <x v="1"/>
    <n v="22"/>
    <x v="5"/>
    <x v="0"/>
  </r>
  <r>
    <n v="3419"/>
    <x v="10"/>
    <x v="1"/>
    <x v="14"/>
    <x v="2"/>
    <n v="30"/>
    <s v="South Carolina"/>
    <x v="2"/>
    <x v="19"/>
    <x v="2"/>
    <x v="11"/>
    <x v="1"/>
    <x v="1"/>
    <x v="1"/>
    <x v="1"/>
    <n v="35"/>
    <x v="5"/>
    <x v="2"/>
  </r>
  <r>
    <n v="3420"/>
    <x v="51"/>
    <x v="1"/>
    <x v="16"/>
    <x v="3"/>
    <n v="26"/>
    <s v="West Virginia"/>
    <x v="0"/>
    <x v="21"/>
    <x v="0"/>
    <x v="0"/>
    <x v="1"/>
    <x v="5"/>
    <x v="1"/>
    <x v="1"/>
    <n v="5"/>
    <x v="0"/>
    <x v="4"/>
  </r>
  <r>
    <n v="3421"/>
    <x v="1"/>
    <x v="1"/>
    <x v="19"/>
    <x v="3"/>
    <n v="60"/>
    <s v="Kentucky"/>
    <x v="2"/>
    <x v="7"/>
    <x v="0"/>
    <x v="23"/>
    <x v="1"/>
    <x v="0"/>
    <x v="1"/>
    <x v="1"/>
    <n v="35"/>
    <x v="3"/>
    <x v="4"/>
  </r>
  <r>
    <n v="3422"/>
    <x v="9"/>
    <x v="1"/>
    <x v="9"/>
    <x v="1"/>
    <n v="30"/>
    <s v="New Jersey"/>
    <x v="2"/>
    <x v="1"/>
    <x v="2"/>
    <x v="3"/>
    <x v="1"/>
    <x v="1"/>
    <x v="1"/>
    <x v="1"/>
    <n v="27"/>
    <x v="3"/>
    <x v="1"/>
  </r>
  <r>
    <n v="3423"/>
    <x v="1"/>
    <x v="1"/>
    <x v="7"/>
    <x v="2"/>
    <n v="91"/>
    <s v="New York"/>
    <x v="0"/>
    <x v="19"/>
    <x v="0"/>
    <x v="4"/>
    <x v="1"/>
    <x v="2"/>
    <x v="1"/>
    <x v="1"/>
    <n v="9"/>
    <x v="0"/>
    <x v="5"/>
  </r>
  <r>
    <n v="3424"/>
    <x v="23"/>
    <x v="1"/>
    <x v="23"/>
    <x v="1"/>
    <n v="71"/>
    <s v="Massachusetts"/>
    <x v="2"/>
    <x v="18"/>
    <x v="1"/>
    <x v="22"/>
    <x v="1"/>
    <x v="2"/>
    <x v="1"/>
    <x v="1"/>
    <n v="21"/>
    <x v="3"/>
    <x v="4"/>
  </r>
  <r>
    <n v="3425"/>
    <x v="23"/>
    <x v="1"/>
    <x v="18"/>
    <x v="3"/>
    <n v="64"/>
    <s v="Florida"/>
    <x v="0"/>
    <x v="14"/>
    <x v="2"/>
    <x v="15"/>
    <x v="1"/>
    <x v="4"/>
    <x v="1"/>
    <x v="1"/>
    <n v="23"/>
    <x v="2"/>
    <x v="5"/>
  </r>
  <r>
    <n v="3426"/>
    <x v="21"/>
    <x v="1"/>
    <x v="19"/>
    <x v="3"/>
    <n v="54"/>
    <s v="Michigan"/>
    <x v="2"/>
    <x v="24"/>
    <x v="2"/>
    <x v="24"/>
    <x v="1"/>
    <x v="2"/>
    <x v="1"/>
    <x v="1"/>
    <n v="3"/>
    <x v="5"/>
    <x v="4"/>
  </r>
  <r>
    <n v="3427"/>
    <x v="36"/>
    <x v="1"/>
    <x v="20"/>
    <x v="0"/>
    <n v="35"/>
    <s v="Oregon"/>
    <x v="3"/>
    <x v="23"/>
    <x v="3"/>
    <x v="6"/>
    <x v="1"/>
    <x v="4"/>
    <x v="1"/>
    <x v="1"/>
    <n v="31"/>
    <x v="2"/>
    <x v="2"/>
  </r>
  <r>
    <n v="3428"/>
    <x v="31"/>
    <x v="1"/>
    <x v="17"/>
    <x v="0"/>
    <n v="38"/>
    <s v="Michigan"/>
    <x v="3"/>
    <x v="2"/>
    <x v="0"/>
    <x v="25"/>
    <x v="1"/>
    <x v="5"/>
    <x v="1"/>
    <x v="1"/>
    <n v="44"/>
    <x v="1"/>
    <x v="2"/>
  </r>
  <r>
    <n v="3429"/>
    <x v="45"/>
    <x v="1"/>
    <x v="16"/>
    <x v="3"/>
    <n v="69"/>
    <s v="Washington"/>
    <x v="2"/>
    <x v="0"/>
    <x v="3"/>
    <x v="25"/>
    <x v="1"/>
    <x v="2"/>
    <x v="1"/>
    <x v="1"/>
    <n v="20"/>
    <x v="0"/>
    <x v="5"/>
  </r>
  <r>
    <n v="3430"/>
    <x v="7"/>
    <x v="1"/>
    <x v="11"/>
    <x v="0"/>
    <n v="96"/>
    <s v="Alaska"/>
    <x v="1"/>
    <x v="7"/>
    <x v="0"/>
    <x v="12"/>
    <x v="1"/>
    <x v="0"/>
    <x v="1"/>
    <x v="1"/>
    <n v="34"/>
    <x v="5"/>
    <x v="1"/>
  </r>
  <r>
    <n v="3431"/>
    <x v="29"/>
    <x v="1"/>
    <x v="20"/>
    <x v="0"/>
    <n v="73"/>
    <s v="Montana"/>
    <x v="2"/>
    <x v="12"/>
    <x v="0"/>
    <x v="19"/>
    <x v="1"/>
    <x v="2"/>
    <x v="1"/>
    <x v="1"/>
    <n v="17"/>
    <x v="4"/>
    <x v="6"/>
  </r>
  <r>
    <n v="3432"/>
    <x v="5"/>
    <x v="1"/>
    <x v="22"/>
    <x v="3"/>
    <n v="49"/>
    <s v="New Mexico"/>
    <x v="1"/>
    <x v="14"/>
    <x v="2"/>
    <x v="19"/>
    <x v="1"/>
    <x v="0"/>
    <x v="1"/>
    <x v="1"/>
    <n v="20"/>
    <x v="0"/>
    <x v="2"/>
  </r>
  <r>
    <n v="3433"/>
    <x v="24"/>
    <x v="1"/>
    <x v="23"/>
    <x v="1"/>
    <n v="44"/>
    <s v="Connecticut"/>
    <x v="2"/>
    <x v="0"/>
    <x v="2"/>
    <x v="6"/>
    <x v="1"/>
    <x v="4"/>
    <x v="1"/>
    <x v="1"/>
    <n v="46"/>
    <x v="3"/>
    <x v="6"/>
  </r>
  <r>
    <n v="3434"/>
    <x v="46"/>
    <x v="1"/>
    <x v="20"/>
    <x v="0"/>
    <n v="93"/>
    <s v="Alaska"/>
    <x v="2"/>
    <x v="22"/>
    <x v="1"/>
    <x v="9"/>
    <x v="1"/>
    <x v="1"/>
    <x v="1"/>
    <x v="1"/>
    <n v="28"/>
    <x v="3"/>
    <x v="2"/>
  </r>
  <r>
    <n v="3435"/>
    <x v="18"/>
    <x v="1"/>
    <x v="13"/>
    <x v="0"/>
    <n v="72"/>
    <s v="Ohio"/>
    <x v="1"/>
    <x v="20"/>
    <x v="2"/>
    <x v="13"/>
    <x v="1"/>
    <x v="4"/>
    <x v="1"/>
    <x v="1"/>
    <n v="6"/>
    <x v="0"/>
    <x v="0"/>
  </r>
  <r>
    <n v="3436"/>
    <x v="33"/>
    <x v="1"/>
    <x v="20"/>
    <x v="0"/>
    <n v="91"/>
    <s v="Montana"/>
    <x v="2"/>
    <x v="19"/>
    <x v="2"/>
    <x v="2"/>
    <x v="1"/>
    <x v="4"/>
    <x v="1"/>
    <x v="1"/>
    <n v="50"/>
    <x v="5"/>
    <x v="4"/>
  </r>
  <r>
    <n v="3437"/>
    <x v="9"/>
    <x v="1"/>
    <x v="22"/>
    <x v="3"/>
    <n v="83"/>
    <s v="Nebraska"/>
    <x v="0"/>
    <x v="15"/>
    <x v="0"/>
    <x v="11"/>
    <x v="1"/>
    <x v="4"/>
    <x v="1"/>
    <x v="1"/>
    <n v="41"/>
    <x v="4"/>
    <x v="5"/>
  </r>
  <r>
    <n v="3438"/>
    <x v="40"/>
    <x v="1"/>
    <x v="14"/>
    <x v="2"/>
    <n v="62"/>
    <s v="Oklahoma"/>
    <x v="1"/>
    <x v="14"/>
    <x v="0"/>
    <x v="1"/>
    <x v="1"/>
    <x v="4"/>
    <x v="1"/>
    <x v="1"/>
    <n v="50"/>
    <x v="3"/>
    <x v="2"/>
  </r>
  <r>
    <n v="3439"/>
    <x v="8"/>
    <x v="1"/>
    <x v="5"/>
    <x v="0"/>
    <n v="71"/>
    <s v="Kentucky"/>
    <x v="2"/>
    <x v="10"/>
    <x v="3"/>
    <x v="21"/>
    <x v="1"/>
    <x v="5"/>
    <x v="1"/>
    <x v="1"/>
    <n v="33"/>
    <x v="2"/>
    <x v="5"/>
  </r>
  <r>
    <n v="3440"/>
    <x v="49"/>
    <x v="1"/>
    <x v="24"/>
    <x v="3"/>
    <n v="93"/>
    <s v="Idaho"/>
    <x v="2"/>
    <x v="0"/>
    <x v="2"/>
    <x v="9"/>
    <x v="1"/>
    <x v="0"/>
    <x v="1"/>
    <x v="1"/>
    <n v="25"/>
    <x v="0"/>
    <x v="3"/>
  </r>
  <r>
    <n v="3441"/>
    <x v="4"/>
    <x v="1"/>
    <x v="8"/>
    <x v="3"/>
    <n v="63"/>
    <s v="Maryland"/>
    <x v="0"/>
    <x v="23"/>
    <x v="3"/>
    <x v="24"/>
    <x v="1"/>
    <x v="4"/>
    <x v="1"/>
    <x v="1"/>
    <n v="2"/>
    <x v="3"/>
    <x v="1"/>
  </r>
  <r>
    <n v="3442"/>
    <x v="14"/>
    <x v="1"/>
    <x v="1"/>
    <x v="0"/>
    <n v="96"/>
    <s v="Tennessee"/>
    <x v="3"/>
    <x v="4"/>
    <x v="3"/>
    <x v="7"/>
    <x v="1"/>
    <x v="3"/>
    <x v="1"/>
    <x v="1"/>
    <n v="15"/>
    <x v="2"/>
    <x v="2"/>
  </r>
  <r>
    <n v="3443"/>
    <x v="48"/>
    <x v="1"/>
    <x v="11"/>
    <x v="0"/>
    <n v="78"/>
    <s v="Michigan"/>
    <x v="2"/>
    <x v="10"/>
    <x v="1"/>
    <x v="24"/>
    <x v="1"/>
    <x v="2"/>
    <x v="1"/>
    <x v="1"/>
    <n v="12"/>
    <x v="3"/>
    <x v="1"/>
  </r>
  <r>
    <n v="3444"/>
    <x v="36"/>
    <x v="1"/>
    <x v="10"/>
    <x v="0"/>
    <n v="24"/>
    <s v="Tennessee"/>
    <x v="0"/>
    <x v="5"/>
    <x v="2"/>
    <x v="16"/>
    <x v="1"/>
    <x v="1"/>
    <x v="1"/>
    <x v="1"/>
    <n v="28"/>
    <x v="1"/>
    <x v="4"/>
  </r>
  <r>
    <n v="3445"/>
    <x v="10"/>
    <x v="1"/>
    <x v="13"/>
    <x v="0"/>
    <n v="63"/>
    <s v="Rhode Island"/>
    <x v="1"/>
    <x v="14"/>
    <x v="2"/>
    <x v="22"/>
    <x v="1"/>
    <x v="4"/>
    <x v="1"/>
    <x v="1"/>
    <n v="12"/>
    <x v="4"/>
    <x v="4"/>
  </r>
  <r>
    <n v="3446"/>
    <x v="32"/>
    <x v="1"/>
    <x v="19"/>
    <x v="3"/>
    <n v="58"/>
    <s v="Florida"/>
    <x v="2"/>
    <x v="23"/>
    <x v="3"/>
    <x v="8"/>
    <x v="1"/>
    <x v="3"/>
    <x v="1"/>
    <x v="1"/>
    <n v="3"/>
    <x v="5"/>
    <x v="2"/>
  </r>
  <r>
    <n v="3447"/>
    <x v="47"/>
    <x v="1"/>
    <x v="23"/>
    <x v="1"/>
    <n v="55"/>
    <s v="Louisiana"/>
    <x v="1"/>
    <x v="7"/>
    <x v="1"/>
    <x v="16"/>
    <x v="1"/>
    <x v="4"/>
    <x v="1"/>
    <x v="1"/>
    <n v="20"/>
    <x v="1"/>
    <x v="1"/>
  </r>
  <r>
    <n v="3448"/>
    <x v="46"/>
    <x v="1"/>
    <x v="3"/>
    <x v="1"/>
    <n v="58"/>
    <s v="Arkansas"/>
    <x v="2"/>
    <x v="24"/>
    <x v="3"/>
    <x v="24"/>
    <x v="1"/>
    <x v="0"/>
    <x v="1"/>
    <x v="1"/>
    <n v="3"/>
    <x v="4"/>
    <x v="4"/>
  </r>
  <r>
    <n v="3449"/>
    <x v="20"/>
    <x v="1"/>
    <x v="7"/>
    <x v="2"/>
    <n v="28"/>
    <s v="Kentucky"/>
    <x v="1"/>
    <x v="22"/>
    <x v="0"/>
    <x v="7"/>
    <x v="1"/>
    <x v="0"/>
    <x v="1"/>
    <x v="1"/>
    <n v="32"/>
    <x v="4"/>
    <x v="0"/>
  </r>
  <r>
    <n v="3450"/>
    <x v="39"/>
    <x v="1"/>
    <x v="0"/>
    <x v="0"/>
    <n v="37"/>
    <s v="Kansas"/>
    <x v="2"/>
    <x v="18"/>
    <x v="1"/>
    <x v="9"/>
    <x v="1"/>
    <x v="3"/>
    <x v="1"/>
    <x v="1"/>
    <n v="35"/>
    <x v="1"/>
    <x v="5"/>
  </r>
  <r>
    <n v="3451"/>
    <x v="30"/>
    <x v="1"/>
    <x v="6"/>
    <x v="0"/>
    <n v="78"/>
    <s v="Vermont"/>
    <x v="2"/>
    <x v="6"/>
    <x v="1"/>
    <x v="15"/>
    <x v="1"/>
    <x v="5"/>
    <x v="1"/>
    <x v="1"/>
    <n v="31"/>
    <x v="3"/>
    <x v="5"/>
  </r>
  <r>
    <n v="3452"/>
    <x v="45"/>
    <x v="1"/>
    <x v="0"/>
    <x v="0"/>
    <n v="73"/>
    <s v="Nevada"/>
    <x v="3"/>
    <x v="5"/>
    <x v="3"/>
    <x v="21"/>
    <x v="1"/>
    <x v="1"/>
    <x v="1"/>
    <x v="1"/>
    <n v="13"/>
    <x v="2"/>
    <x v="2"/>
  </r>
  <r>
    <n v="3453"/>
    <x v="8"/>
    <x v="1"/>
    <x v="14"/>
    <x v="2"/>
    <n v="20"/>
    <s v="Oklahoma"/>
    <x v="2"/>
    <x v="21"/>
    <x v="1"/>
    <x v="18"/>
    <x v="1"/>
    <x v="2"/>
    <x v="1"/>
    <x v="1"/>
    <n v="3"/>
    <x v="0"/>
    <x v="0"/>
  </r>
  <r>
    <n v="3454"/>
    <x v="18"/>
    <x v="1"/>
    <x v="5"/>
    <x v="0"/>
    <n v="60"/>
    <s v="Alabama"/>
    <x v="0"/>
    <x v="6"/>
    <x v="0"/>
    <x v="24"/>
    <x v="1"/>
    <x v="3"/>
    <x v="1"/>
    <x v="1"/>
    <n v="48"/>
    <x v="0"/>
    <x v="4"/>
  </r>
  <r>
    <n v="3455"/>
    <x v="0"/>
    <x v="1"/>
    <x v="8"/>
    <x v="3"/>
    <n v="71"/>
    <s v="Louisiana"/>
    <x v="1"/>
    <x v="12"/>
    <x v="3"/>
    <x v="12"/>
    <x v="1"/>
    <x v="5"/>
    <x v="1"/>
    <x v="1"/>
    <n v="15"/>
    <x v="3"/>
    <x v="4"/>
  </r>
  <r>
    <n v="3456"/>
    <x v="34"/>
    <x v="1"/>
    <x v="17"/>
    <x v="0"/>
    <n v="89"/>
    <s v="Ohio"/>
    <x v="2"/>
    <x v="20"/>
    <x v="3"/>
    <x v="10"/>
    <x v="1"/>
    <x v="3"/>
    <x v="1"/>
    <x v="1"/>
    <n v="13"/>
    <x v="0"/>
    <x v="2"/>
  </r>
  <r>
    <n v="3457"/>
    <x v="32"/>
    <x v="1"/>
    <x v="15"/>
    <x v="0"/>
    <n v="53"/>
    <s v="Texas"/>
    <x v="2"/>
    <x v="16"/>
    <x v="3"/>
    <x v="12"/>
    <x v="1"/>
    <x v="0"/>
    <x v="1"/>
    <x v="1"/>
    <n v="21"/>
    <x v="0"/>
    <x v="5"/>
  </r>
  <r>
    <n v="3458"/>
    <x v="14"/>
    <x v="1"/>
    <x v="16"/>
    <x v="3"/>
    <n v="87"/>
    <s v="Maryland"/>
    <x v="2"/>
    <x v="0"/>
    <x v="2"/>
    <x v="21"/>
    <x v="1"/>
    <x v="0"/>
    <x v="1"/>
    <x v="1"/>
    <n v="29"/>
    <x v="1"/>
    <x v="0"/>
  </r>
  <r>
    <n v="3459"/>
    <x v="33"/>
    <x v="1"/>
    <x v="16"/>
    <x v="3"/>
    <n v="37"/>
    <s v="West Virginia"/>
    <x v="0"/>
    <x v="10"/>
    <x v="1"/>
    <x v="23"/>
    <x v="1"/>
    <x v="3"/>
    <x v="1"/>
    <x v="1"/>
    <n v="24"/>
    <x v="0"/>
    <x v="3"/>
  </r>
  <r>
    <n v="3460"/>
    <x v="33"/>
    <x v="1"/>
    <x v="15"/>
    <x v="0"/>
    <n v="37"/>
    <s v="Ohio"/>
    <x v="0"/>
    <x v="14"/>
    <x v="3"/>
    <x v="22"/>
    <x v="1"/>
    <x v="0"/>
    <x v="1"/>
    <x v="1"/>
    <n v="21"/>
    <x v="3"/>
    <x v="2"/>
  </r>
  <r>
    <n v="3461"/>
    <x v="38"/>
    <x v="1"/>
    <x v="18"/>
    <x v="3"/>
    <n v="78"/>
    <s v="Indiana"/>
    <x v="2"/>
    <x v="9"/>
    <x v="1"/>
    <x v="0"/>
    <x v="1"/>
    <x v="0"/>
    <x v="1"/>
    <x v="1"/>
    <n v="5"/>
    <x v="4"/>
    <x v="4"/>
  </r>
  <r>
    <n v="3462"/>
    <x v="47"/>
    <x v="1"/>
    <x v="9"/>
    <x v="1"/>
    <n v="23"/>
    <s v="Wyoming"/>
    <x v="1"/>
    <x v="1"/>
    <x v="1"/>
    <x v="14"/>
    <x v="1"/>
    <x v="3"/>
    <x v="1"/>
    <x v="1"/>
    <n v="47"/>
    <x v="1"/>
    <x v="3"/>
  </r>
  <r>
    <n v="3463"/>
    <x v="42"/>
    <x v="1"/>
    <x v="2"/>
    <x v="0"/>
    <n v="73"/>
    <s v="Michigan"/>
    <x v="0"/>
    <x v="8"/>
    <x v="1"/>
    <x v="9"/>
    <x v="1"/>
    <x v="3"/>
    <x v="1"/>
    <x v="1"/>
    <n v="34"/>
    <x v="2"/>
    <x v="6"/>
  </r>
  <r>
    <n v="3464"/>
    <x v="7"/>
    <x v="1"/>
    <x v="16"/>
    <x v="3"/>
    <n v="27"/>
    <s v="Maine"/>
    <x v="2"/>
    <x v="22"/>
    <x v="3"/>
    <x v="11"/>
    <x v="1"/>
    <x v="4"/>
    <x v="1"/>
    <x v="1"/>
    <n v="45"/>
    <x v="3"/>
    <x v="0"/>
  </r>
  <r>
    <n v="3465"/>
    <x v="24"/>
    <x v="1"/>
    <x v="7"/>
    <x v="2"/>
    <n v="59"/>
    <s v="Utah"/>
    <x v="1"/>
    <x v="15"/>
    <x v="0"/>
    <x v="2"/>
    <x v="1"/>
    <x v="2"/>
    <x v="1"/>
    <x v="1"/>
    <n v="12"/>
    <x v="3"/>
    <x v="2"/>
  </r>
  <r>
    <n v="3466"/>
    <x v="1"/>
    <x v="1"/>
    <x v="21"/>
    <x v="3"/>
    <n v="53"/>
    <s v="Iowa"/>
    <x v="2"/>
    <x v="9"/>
    <x v="1"/>
    <x v="23"/>
    <x v="1"/>
    <x v="3"/>
    <x v="1"/>
    <x v="1"/>
    <n v="31"/>
    <x v="5"/>
    <x v="1"/>
  </r>
  <r>
    <n v="3467"/>
    <x v="34"/>
    <x v="1"/>
    <x v="20"/>
    <x v="0"/>
    <n v="42"/>
    <s v="Maryland"/>
    <x v="1"/>
    <x v="7"/>
    <x v="2"/>
    <x v="12"/>
    <x v="1"/>
    <x v="3"/>
    <x v="1"/>
    <x v="1"/>
    <n v="43"/>
    <x v="4"/>
    <x v="2"/>
  </r>
  <r>
    <n v="3468"/>
    <x v="20"/>
    <x v="1"/>
    <x v="18"/>
    <x v="3"/>
    <n v="45"/>
    <s v="Texas"/>
    <x v="2"/>
    <x v="4"/>
    <x v="3"/>
    <x v="16"/>
    <x v="1"/>
    <x v="2"/>
    <x v="1"/>
    <x v="1"/>
    <n v="5"/>
    <x v="2"/>
    <x v="2"/>
  </r>
  <r>
    <n v="3469"/>
    <x v="24"/>
    <x v="1"/>
    <x v="12"/>
    <x v="3"/>
    <n v="89"/>
    <s v="Ohio"/>
    <x v="1"/>
    <x v="21"/>
    <x v="0"/>
    <x v="1"/>
    <x v="1"/>
    <x v="3"/>
    <x v="1"/>
    <x v="1"/>
    <n v="36"/>
    <x v="5"/>
    <x v="3"/>
  </r>
  <r>
    <n v="3470"/>
    <x v="24"/>
    <x v="1"/>
    <x v="20"/>
    <x v="0"/>
    <n v="85"/>
    <s v="North Dakota"/>
    <x v="0"/>
    <x v="23"/>
    <x v="3"/>
    <x v="13"/>
    <x v="1"/>
    <x v="5"/>
    <x v="1"/>
    <x v="1"/>
    <n v="12"/>
    <x v="1"/>
    <x v="2"/>
  </r>
  <r>
    <n v="3471"/>
    <x v="1"/>
    <x v="1"/>
    <x v="7"/>
    <x v="2"/>
    <n v="69"/>
    <s v="West Virginia"/>
    <x v="1"/>
    <x v="8"/>
    <x v="2"/>
    <x v="9"/>
    <x v="1"/>
    <x v="1"/>
    <x v="1"/>
    <x v="1"/>
    <n v="31"/>
    <x v="1"/>
    <x v="4"/>
  </r>
  <r>
    <n v="3472"/>
    <x v="49"/>
    <x v="1"/>
    <x v="3"/>
    <x v="1"/>
    <n v="66"/>
    <s v="North Carolina"/>
    <x v="1"/>
    <x v="24"/>
    <x v="1"/>
    <x v="0"/>
    <x v="1"/>
    <x v="5"/>
    <x v="1"/>
    <x v="1"/>
    <n v="31"/>
    <x v="1"/>
    <x v="4"/>
  </r>
  <r>
    <n v="3473"/>
    <x v="18"/>
    <x v="1"/>
    <x v="0"/>
    <x v="0"/>
    <n v="42"/>
    <s v="Georgia"/>
    <x v="1"/>
    <x v="3"/>
    <x v="2"/>
    <x v="17"/>
    <x v="1"/>
    <x v="1"/>
    <x v="1"/>
    <x v="1"/>
    <n v="15"/>
    <x v="5"/>
    <x v="1"/>
  </r>
  <r>
    <n v="3474"/>
    <x v="6"/>
    <x v="1"/>
    <x v="10"/>
    <x v="0"/>
    <n v="40"/>
    <s v="Kansas"/>
    <x v="2"/>
    <x v="17"/>
    <x v="1"/>
    <x v="25"/>
    <x v="1"/>
    <x v="0"/>
    <x v="1"/>
    <x v="1"/>
    <n v="11"/>
    <x v="1"/>
    <x v="1"/>
  </r>
  <r>
    <n v="3475"/>
    <x v="38"/>
    <x v="1"/>
    <x v="13"/>
    <x v="0"/>
    <n v="82"/>
    <s v="Maine"/>
    <x v="2"/>
    <x v="17"/>
    <x v="0"/>
    <x v="14"/>
    <x v="1"/>
    <x v="5"/>
    <x v="1"/>
    <x v="1"/>
    <n v="18"/>
    <x v="0"/>
    <x v="5"/>
  </r>
  <r>
    <n v="3476"/>
    <x v="39"/>
    <x v="1"/>
    <x v="4"/>
    <x v="1"/>
    <n v="88"/>
    <s v="South Carolina"/>
    <x v="2"/>
    <x v="20"/>
    <x v="1"/>
    <x v="14"/>
    <x v="1"/>
    <x v="0"/>
    <x v="1"/>
    <x v="1"/>
    <n v="9"/>
    <x v="1"/>
    <x v="3"/>
  </r>
  <r>
    <n v="3477"/>
    <x v="33"/>
    <x v="1"/>
    <x v="23"/>
    <x v="1"/>
    <n v="99"/>
    <s v="South Carolina"/>
    <x v="3"/>
    <x v="20"/>
    <x v="2"/>
    <x v="4"/>
    <x v="1"/>
    <x v="1"/>
    <x v="1"/>
    <x v="1"/>
    <n v="11"/>
    <x v="1"/>
    <x v="1"/>
  </r>
  <r>
    <n v="3478"/>
    <x v="10"/>
    <x v="1"/>
    <x v="8"/>
    <x v="3"/>
    <n v="85"/>
    <s v="Kentucky"/>
    <x v="1"/>
    <x v="11"/>
    <x v="1"/>
    <x v="22"/>
    <x v="1"/>
    <x v="5"/>
    <x v="1"/>
    <x v="1"/>
    <n v="38"/>
    <x v="5"/>
    <x v="4"/>
  </r>
  <r>
    <n v="3479"/>
    <x v="24"/>
    <x v="1"/>
    <x v="8"/>
    <x v="3"/>
    <n v="57"/>
    <s v="Arizona"/>
    <x v="2"/>
    <x v="23"/>
    <x v="3"/>
    <x v="12"/>
    <x v="1"/>
    <x v="5"/>
    <x v="1"/>
    <x v="1"/>
    <n v="42"/>
    <x v="3"/>
    <x v="3"/>
  </r>
  <r>
    <n v="3480"/>
    <x v="5"/>
    <x v="1"/>
    <x v="1"/>
    <x v="0"/>
    <n v="56"/>
    <s v="New York"/>
    <x v="1"/>
    <x v="20"/>
    <x v="2"/>
    <x v="8"/>
    <x v="1"/>
    <x v="3"/>
    <x v="1"/>
    <x v="1"/>
    <n v="41"/>
    <x v="1"/>
    <x v="5"/>
  </r>
  <r>
    <n v="3481"/>
    <x v="3"/>
    <x v="1"/>
    <x v="3"/>
    <x v="1"/>
    <n v="79"/>
    <s v="New Hampshire"/>
    <x v="0"/>
    <x v="15"/>
    <x v="0"/>
    <x v="1"/>
    <x v="1"/>
    <x v="1"/>
    <x v="1"/>
    <x v="1"/>
    <n v="45"/>
    <x v="3"/>
    <x v="5"/>
  </r>
  <r>
    <n v="3482"/>
    <x v="16"/>
    <x v="1"/>
    <x v="20"/>
    <x v="0"/>
    <n v="67"/>
    <s v="Ohio"/>
    <x v="1"/>
    <x v="1"/>
    <x v="2"/>
    <x v="23"/>
    <x v="1"/>
    <x v="5"/>
    <x v="1"/>
    <x v="1"/>
    <n v="41"/>
    <x v="5"/>
    <x v="4"/>
  </r>
  <r>
    <n v="3483"/>
    <x v="17"/>
    <x v="1"/>
    <x v="24"/>
    <x v="3"/>
    <n v="61"/>
    <s v="Hawaii"/>
    <x v="2"/>
    <x v="9"/>
    <x v="0"/>
    <x v="20"/>
    <x v="1"/>
    <x v="2"/>
    <x v="1"/>
    <x v="1"/>
    <n v="35"/>
    <x v="5"/>
    <x v="1"/>
  </r>
  <r>
    <n v="3484"/>
    <x v="1"/>
    <x v="1"/>
    <x v="15"/>
    <x v="0"/>
    <n v="37"/>
    <s v="Texas"/>
    <x v="0"/>
    <x v="3"/>
    <x v="0"/>
    <x v="20"/>
    <x v="1"/>
    <x v="0"/>
    <x v="1"/>
    <x v="1"/>
    <n v="21"/>
    <x v="2"/>
    <x v="6"/>
  </r>
  <r>
    <n v="3485"/>
    <x v="42"/>
    <x v="1"/>
    <x v="10"/>
    <x v="0"/>
    <n v="75"/>
    <s v="Illinois"/>
    <x v="0"/>
    <x v="0"/>
    <x v="3"/>
    <x v="19"/>
    <x v="1"/>
    <x v="1"/>
    <x v="1"/>
    <x v="1"/>
    <n v="13"/>
    <x v="2"/>
    <x v="4"/>
  </r>
  <r>
    <n v="3486"/>
    <x v="2"/>
    <x v="1"/>
    <x v="5"/>
    <x v="0"/>
    <n v="21"/>
    <s v="Massachusetts"/>
    <x v="3"/>
    <x v="18"/>
    <x v="0"/>
    <x v="23"/>
    <x v="1"/>
    <x v="3"/>
    <x v="1"/>
    <x v="1"/>
    <n v="23"/>
    <x v="5"/>
    <x v="0"/>
  </r>
  <r>
    <n v="3487"/>
    <x v="47"/>
    <x v="1"/>
    <x v="6"/>
    <x v="0"/>
    <n v="89"/>
    <s v="North Carolina"/>
    <x v="0"/>
    <x v="4"/>
    <x v="0"/>
    <x v="8"/>
    <x v="1"/>
    <x v="3"/>
    <x v="1"/>
    <x v="1"/>
    <n v="6"/>
    <x v="3"/>
    <x v="1"/>
  </r>
  <r>
    <n v="3488"/>
    <x v="15"/>
    <x v="1"/>
    <x v="3"/>
    <x v="1"/>
    <n v="24"/>
    <s v="West Virginia"/>
    <x v="0"/>
    <x v="19"/>
    <x v="3"/>
    <x v="3"/>
    <x v="1"/>
    <x v="5"/>
    <x v="1"/>
    <x v="1"/>
    <n v="39"/>
    <x v="4"/>
    <x v="2"/>
  </r>
  <r>
    <n v="3489"/>
    <x v="46"/>
    <x v="1"/>
    <x v="1"/>
    <x v="0"/>
    <n v="27"/>
    <s v="Delaware"/>
    <x v="3"/>
    <x v="11"/>
    <x v="1"/>
    <x v="8"/>
    <x v="1"/>
    <x v="5"/>
    <x v="1"/>
    <x v="1"/>
    <n v="7"/>
    <x v="1"/>
    <x v="3"/>
  </r>
  <r>
    <n v="3490"/>
    <x v="39"/>
    <x v="1"/>
    <x v="10"/>
    <x v="0"/>
    <n v="26"/>
    <s v="Idaho"/>
    <x v="0"/>
    <x v="13"/>
    <x v="2"/>
    <x v="12"/>
    <x v="1"/>
    <x v="4"/>
    <x v="1"/>
    <x v="1"/>
    <n v="32"/>
    <x v="3"/>
    <x v="6"/>
  </r>
  <r>
    <n v="3491"/>
    <x v="46"/>
    <x v="1"/>
    <x v="23"/>
    <x v="1"/>
    <n v="82"/>
    <s v="Oregon"/>
    <x v="2"/>
    <x v="10"/>
    <x v="1"/>
    <x v="15"/>
    <x v="1"/>
    <x v="5"/>
    <x v="1"/>
    <x v="1"/>
    <n v="43"/>
    <x v="2"/>
    <x v="3"/>
  </r>
  <r>
    <n v="3492"/>
    <x v="40"/>
    <x v="1"/>
    <x v="13"/>
    <x v="0"/>
    <n v="28"/>
    <s v="Maine"/>
    <x v="2"/>
    <x v="20"/>
    <x v="0"/>
    <x v="24"/>
    <x v="1"/>
    <x v="0"/>
    <x v="1"/>
    <x v="1"/>
    <n v="15"/>
    <x v="1"/>
    <x v="5"/>
  </r>
  <r>
    <n v="3493"/>
    <x v="39"/>
    <x v="1"/>
    <x v="24"/>
    <x v="3"/>
    <n v="65"/>
    <s v="South Dakota"/>
    <x v="2"/>
    <x v="2"/>
    <x v="3"/>
    <x v="12"/>
    <x v="1"/>
    <x v="3"/>
    <x v="1"/>
    <x v="1"/>
    <n v="48"/>
    <x v="4"/>
    <x v="2"/>
  </r>
  <r>
    <n v="3494"/>
    <x v="39"/>
    <x v="1"/>
    <x v="13"/>
    <x v="0"/>
    <n v="82"/>
    <s v="New Mexico"/>
    <x v="3"/>
    <x v="13"/>
    <x v="0"/>
    <x v="10"/>
    <x v="1"/>
    <x v="5"/>
    <x v="1"/>
    <x v="1"/>
    <n v="35"/>
    <x v="2"/>
    <x v="1"/>
  </r>
  <r>
    <n v="3495"/>
    <x v="46"/>
    <x v="1"/>
    <x v="18"/>
    <x v="3"/>
    <n v="38"/>
    <s v="Washington"/>
    <x v="2"/>
    <x v="5"/>
    <x v="0"/>
    <x v="1"/>
    <x v="1"/>
    <x v="1"/>
    <x v="1"/>
    <x v="1"/>
    <n v="41"/>
    <x v="3"/>
    <x v="3"/>
  </r>
  <r>
    <n v="3496"/>
    <x v="41"/>
    <x v="1"/>
    <x v="6"/>
    <x v="0"/>
    <n v="33"/>
    <s v="Georgia"/>
    <x v="3"/>
    <x v="0"/>
    <x v="1"/>
    <x v="11"/>
    <x v="1"/>
    <x v="1"/>
    <x v="1"/>
    <x v="1"/>
    <n v="14"/>
    <x v="1"/>
    <x v="1"/>
  </r>
  <r>
    <n v="3497"/>
    <x v="31"/>
    <x v="1"/>
    <x v="9"/>
    <x v="1"/>
    <n v="38"/>
    <s v="Idaho"/>
    <x v="2"/>
    <x v="6"/>
    <x v="2"/>
    <x v="17"/>
    <x v="1"/>
    <x v="1"/>
    <x v="1"/>
    <x v="1"/>
    <n v="22"/>
    <x v="3"/>
    <x v="5"/>
  </r>
  <r>
    <n v="3498"/>
    <x v="25"/>
    <x v="1"/>
    <x v="8"/>
    <x v="3"/>
    <n v="48"/>
    <s v="Colorado"/>
    <x v="2"/>
    <x v="16"/>
    <x v="1"/>
    <x v="24"/>
    <x v="1"/>
    <x v="5"/>
    <x v="1"/>
    <x v="1"/>
    <n v="16"/>
    <x v="0"/>
    <x v="6"/>
  </r>
  <r>
    <n v="3499"/>
    <x v="36"/>
    <x v="1"/>
    <x v="3"/>
    <x v="1"/>
    <n v="35"/>
    <s v="Kentucky"/>
    <x v="2"/>
    <x v="12"/>
    <x v="2"/>
    <x v="22"/>
    <x v="1"/>
    <x v="3"/>
    <x v="1"/>
    <x v="1"/>
    <n v="2"/>
    <x v="4"/>
    <x v="4"/>
  </r>
  <r>
    <n v="3500"/>
    <x v="40"/>
    <x v="1"/>
    <x v="20"/>
    <x v="0"/>
    <n v="29"/>
    <s v="New Jersey"/>
    <x v="0"/>
    <x v="21"/>
    <x v="3"/>
    <x v="21"/>
    <x v="1"/>
    <x v="2"/>
    <x v="1"/>
    <x v="1"/>
    <n v="13"/>
    <x v="3"/>
    <x v="6"/>
  </r>
  <r>
    <n v="3501"/>
    <x v="21"/>
    <x v="1"/>
    <x v="5"/>
    <x v="0"/>
    <n v="48"/>
    <s v="Oregon"/>
    <x v="1"/>
    <x v="5"/>
    <x v="3"/>
    <x v="12"/>
    <x v="1"/>
    <x v="2"/>
    <x v="1"/>
    <x v="1"/>
    <n v="38"/>
    <x v="5"/>
    <x v="0"/>
  </r>
  <r>
    <n v="3502"/>
    <x v="10"/>
    <x v="1"/>
    <x v="9"/>
    <x v="1"/>
    <n v="87"/>
    <s v="Nebraska"/>
    <x v="2"/>
    <x v="5"/>
    <x v="3"/>
    <x v="6"/>
    <x v="1"/>
    <x v="3"/>
    <x v="1"/>
    <x v="1"/>
    <n v="43"/>
    <x v="4"/>
    <x v="1"/>
  </r>
  <r>
    <n v="3503"/>
    <x v="18"/>
    <x v="1"/>
    <x v="21"/>
    <x v="3"/>
    <n v="62"/>
    <s v="Massachusetts"/>
    <x v="2"/>
    <x v="14"/>
    <x v="3"/>
    <x v="10"/>
    <x v="1"/>
    <x v="2"/>
    <x v="1"/>
    <x v="1"/>
    <n v="26"/>
    <x v="4"/>
    <x v="3"/>
  </r>
  <r>
    <n v="3504"/>
    <x v="18"/>
    <x v="1"/>
    <x v="5"/>
    <x v="0"/>
    <n v="96"/>
    <s v="Nebraska"/>
    <x v="2"/>
    <x v="6"/>
    <x v="1"/>
    <x v="20"/>
    <x v="1"/>
    <x v="1"/>
    <x v="1"/>
    <x v="1"/>
    <n v="39"/>
    <x v="1"/>
    <x v="1"/>
  </r>
  <r>
    <n v="3505"/>
    <x v="13"/>
    <x v="1"/>
    <x v="8"/>
    <x v="3"/>
    <n v="41"/>
    <s v="Hawaii"/>
    <x v="1"/>
    <x v="10"/>
    <x v="3"/>
    <x v="17"/>
    <x v="1"/>
    <x v="2"/>
    <x v="1"/>
    <x v="1"/>
    <n v="50"/>
    <x v="0"/>
    <x v="5"/>
  </r>
  <r>
    <n v="3506"/>
    <x v="39"/>
    <x v="1"/>
    <x v="16"/>
    <x v="3"/>
    <n v="42"/>
    <s v="Indiana"/>
    <x v="0"/>
    <x v="16"/>
    <x v="0"/>
    <x v="18"/>
    <x v="1"/>
    <x v="4"/>
    <x v="1"/>
    <x v="1"/>
    <n v="40"/>
    <x v="4"/>
    <x v="6"/>
  </r>
  <r>
    <n v="3507"/>
    <x v="20"/>
    <x v="1"/>
    <x v="5"/>
    <x v="0"/>
    <n v="57"/>
    <s v="Illinois"/>
    <x v="0"/>
    <x v="8"/>
    <x v="0"/>
    <x v="18"/>
    <x v="1"/>
    <x v="4"/>
    <x v="1"/>
    <x v="1"/>
    <n v="12"/>
    <x v="1"/>
    <x v="0"/>
  </r>
  <r>
    <n v="3508"/>
    <x v="5"/>
    <x v="1"/>
    <x v="8"/>
    <x v="3"/>
    <n v="65"/>
    <s v="Colorado"/>
    <x v="1"/>
    <x v="7"/>
    <x v="1"/>
    <x v="19"/>
    <x v="1"/>
    <x v="5"/>
    <x v="1"/>
    <x v="1"/>
    <n v="33"/>
    <x v="2"/>
    <x v="6"/>
  </r>
  <r>
    <n v="3509"/>
    <x v="16"/>
    <x v="1"/>
    <x v="13"/>
    <x v="0"/>
    <n v="54"/>
    <s v="Pennsylvania"/>
    <x v="2"/>
    <x v="0"/>
    <x v="3"/>
    <x v="10"/>
    <x v="1"/>
    <x v="3"/>
    <x v="1"/>
    <x v="1"/>
    <n v="49"/>
    <x v="4"/>
    <x v="1"/>
  </r>
  <r>
    <n v="3510"/>
    <x v="2"/>
    <x v="1"/>
    <x v="17"/>
    <x v="0"/>
    <n v="22"/>
    <s v="Ohio"/>
    <x v="0"/>
    <x v="18"/>
    <x v="0"/>
    <x v="24"/>
    <x v="1"/>
    <x v="2"/>
    <x v="1"/>
    <x v="1"/>
    <n v="43"/>
    <x v="0"/>
    <x v="4"/>
  </r>
  <r>
    <n v="3511"/>
    <x v="34"/>
    <x v="1"/>
    <x v="4"/>
    <x v="1"/>
    <n v="96"/>
    <s v="Pennsylvania"/>
    <x v="1"/>
    <x v="20"/>
    <x v="3"/>
    <x v="8"/>
    <x v="1"/>
    <x v="4"/>
    <x v="1"/>
    <x v="1"/>
    <n v="14"/>
    <x v="0"/>
    <x v="5"/>
  </r>
  <r>
    <n v="3512"/>
    <x v="28"/>
    <x v="1"/>
    <x v="16"/>
    <x v="3"/>
    <n v="81"/>
    <s v="Mississippi"/>
    <x v="2"/>
    <x v="24"/>
    <x v="2"/>
    <x v="20"/>
    <x v="1"/>
    <x v="4"/>
    <x v="1"/>
    <x v="1"/>
    <n v="21"/>
    <x v="2"/>
    <x v="6"/>
  </r>
  <r>
    <n v="3513"/>
    <x v="24"/>
    <x v="1"/>
    <x v="5"/>
    <x v="0"/>
    <n v="46"/>
    <s v="Kentucky"/>
    <x v="2"/>
    <x v="3"/>
    <x v="3"/>
    <x v="23"/>
    <x v="1"/>
    <x v="1"/>
    <x v="1"/>
    <x v="1"/>
    <n v="31"/>
    <x v="5"/>
    <x v="3"/>
  </r>
  <r>
    <n v="3514"/>
    <x v="11"/>
    <x v="1"/>
    <x v="0"/>
    <x v="0"/>
    <n v="74"/>
    <s v="Alaska"/>
    <x v="3"/>
    <x v="4"/>
    <x v="1"/>
    <x v="19"/>
    <x v="1"/>
    <x v="5"/>
    <x v="1"/>
    <x v="1"/>
    <n v="29"/>
    <x v="2"/>
    <x v="0"/>
  </r>
  <r>
    <n v="3515"/>
    <x v="15"/>
    <x v="1"/>
    <x v="4"/>
    <x v="1"/>
    <n v="50"/>
    <s v="Georgia"/>
    <x v="3"/>
    <x v="0"/>
    <x v="0"/>
    <x v="10"/>
    <x v="1"/>
    <x v="0"/>
    <x v="1"/>
    <x v="1"/>
    <n v="32"/>
    <x v="1"/>
    <x v="5"/>
  </r>
  <r>
    <n v="3516"/>
    <x v="1"/>
    <x v="1"/>
    <x v="10"/>
    <x v="0"/>
    <n v="80"/>
    <s v="South Dakota"/>
    <x v="3"/>
    <x v="4"/>
    <x v="0"/>
    <x v="17"/>
    <x v="1"/>
    <x v="2"/>
    <x v="1"/>
    <x v="1"/>
    <n v="16"/>
    <x v="5"/>
    <x v="4"/>
  </r>
  <r>
    <n v="3517"/>
    <x v="50"/>
    <x v="1"/>
    <x v="23"/>
    <x v="1"/>
    <n v="56"/>
    <s v="South Carolina"/>
    <x v="1"/>
    <x v="3"/>
    <x v="2"/>
    <x v="17"/>
    <x v="1"/>
    <x v="1"/>
    <x v="1"/>
    <x v="1"/>
    <n v="38"/>
    <x v="3"/>
    <x v="4"/>
  </r>
  <r>
    <n v="3518"/>
    <x v="26"/>
    <x v="1"/>
    <x v="11"/>
    <x v="0"/>
    <n v="69"/>
    <s v="Tennessee"/>
    <x v="2"/>
    <x v="20"/>
    <x v="0"/>
    <x v="0"/>
    <x v="1"/>
    <x v="2"/>
    <x v="1"/>
    <x v="1"/>
    <n v="34"/>
    <x v="5"/>
    <x v="6"/>
  </r>
  <r>
    <n v="3519"/>
    <x v="2"/>
    <x v="1"/>
    <x v="5"/>
    <x v="0"/>
    <n v="97"/>
    <s v="Colorado"/>
    <x v="2"/>
    <x v="13"/>
    <x v="1"/>
    <x v="19"/>
    <x v="1"/>
    <x v="3"/>
    <x v="1"/>
    <x v="1"/>
    <n v="30"/>
    <x v="3"/>
    <x v="3"/>
  </r>
  <r>
    <n v="3520"/>
    <x v="18"/>
    <x v="1"/>
    <x v="6"/>
    <x v="0"/>
    <n v="66"/>
    <s v="Wisconsin"/>
    <x v="2"/>
    <x v="3"/>
    <x v="0"/>
    <x v="18"/>
    <x v="1"/>
    <x v="2"/>
    <x v="1"/>
    <x v="1"/>
    <n v="14"/>
    <x v="4"/>
    <x v="0"/>
  </r>
  <r>
    <n v="3521"/>
    <x v="38"/>
    <x v="1"/>
    <x v="19"/>
    <x v="3"/>
    <n v="70"/>
    <s v="Georgia"/>
    <x v="1"/>
    <x v="18"/>
    <x v="1"/>
    <x v="0"/>
    <x v="1"/>
    <x v="0"/>
    <x v="1"/>
    <x v="1"/>
    <n v="33"/>
    <x v="4"/>
    <x v="5"/>
  </r>
  <r>
    <n v="3522"/>
    <x v="16"/>
    <x v="1"/>
    <x v="9"/>
    <x v="1"/>
    <n v="50"/>
    <s v="Maryland"/>
    <x v="2"/>
    <x v="6"/>
    <x v="0"/>
    <x v="18"/>
    <x v="1"/>
    <x v="5"/>
    <x v="1"/>
    <x v="1"/>
    <n v="35"/>
    <x v="0"/>
    <x v="1"/>
  </r>
  <r>
    <n v="3523"/>
    <x v="7"/>
    <x v="1"/>
    <x v="13"/>
    <x v="0"/>
    <n v="85"/>
    <s v="New Jersey"/>
    <x v="2"/>
    <x v="22"/>
    <x v="1"/>
    <x v="4"/>
    <x v="1"/>
    <x v="5"/>
    <x v="1"/>
    <x v="1"/>
    <n v="13"/>
    <x v="1"/>
    <x v="3"/>
  </r>
  <r>
    <n v="3524"/>
    <x v="34"/>
    <x v="1"/>
    <x v="21"/>
    <x v="3"/>
    <n v="59"/>
    <s v="Nevada"/>
    <x v="2"/>
    <x v="17"/>
    <x v="2"/>
    <x v="11"/>
    <x v="1"/>
    <x v="3"/>
    <x v="1"/>
    <x v="1"/>
    <n v="30"/>
    <x v="1"/>
    <x v="0"/>
  </r>
  <r>
    <n v="3525"/>
    <x v="28"/>
    <x v="1"/>
    <x v="13"/>
    <x v="0"/>
    <n v="74"/>
    <s v="Michigan"/>
    <x v="0"/>
    <x v="5"/>
    <x v="2"/>
    <x v="3"/>
    <x v="1"/>
    <x v="1"/>
    <x v="1"/>
    <x v="1"/>
    <n v="30"/>
    <x v="2"/>
    <x v="5"/>
  </r>
  <r>
    <n v="3526"/>
    <x v="4"/>
    <x v="1"/>
    <x v="12"/>
    <x v="3"/>
    <n v="38"/>
    <s v="Wyoming"/>
    <x v="0"/>
    <x v="8"/>
    <x v="0"/>
    <x v="1"/>
    <x v="1"/>
    <x v="3"/>
    <x v="1"/>
    <x v="1"/>
    <n v="47"/>
    <x v="4"/>
    <x v="2"/>
  </r>
  <r>
    <n v="3527"/>
    <x v="30"/>
    <x v="1"/>
    <x v="1"/>
    <x v="0"/>
    <n v="99"/>
    <s v="Massachusetts"/>
    <x v="2"/>
    <x v="8"/>
    <x v="1"/>
    <x v="22"/>
    <x v="1"/>
    <x v="0"/>
    <x v="1"/>
    <x v="1"/>
    <n v="1"/>
    <x v="3"/>
    <x v="6"/>
  </r>
  <r>
    <n v="3528"/>
    <x v="15"/>
    <x v="1"/>
    <x v="0"/>
    <x v="0"/>
    <n v="97"/>
    <s v="Washington"/>
    <x v="1"/>
    <x v="4"/>
    <x v="1"/>
    <x v="10"/>
    <x v="1"/>
    <x v="1"/>
    <x v="1"/>
    <x v="1"/>
    <n v="1"/>
    <x v="1"/>
    <x v="1"/>
  </r>
  <r>
    <n v="3529"/>
    <x v="21"/>
    <x v="1"/>
    <x v="18"/>
    <x v="3"/>
    <n v="67"/>
    <s v="Maine"/>
    <x v="0"/>
    <x v="0"/>
    <x v="2"/>
    <x v="9"/>
    <x v="1"/>
    <x v="1"/>
    <x v="1"/>
    <x v="1"/>
    <n v="33"/>
    <x v="3"/>
    <x v="2"/>
  </r>
  <r>
    <n v="3530"/>
    <x v="0"/>
    <x v="1"/>
    <x v="17"/>
    <x v="0"/>
    <n v="20"/>
    <s v="Montana"/>
    <x v="1"/>
    <x v="1"/>
    <x v="0"/>
    <x v="20"/>
    <x v="1"/>
    <x v="2"/>
    <x v="1"/>
    <x v="1"/>
    <n v="43"/>
    <x v="4"/>
    <x v="1"/>
  </r>
  <r>
    <n v="3531"/>
    <x v="46"/>
    <x v="1"/>
    <x v="12"/>
    <x v="3"/>
    <n v="45"/>
    <s v="Oklahoma"/>
    <x v="0"/>
    <x v="13"/>
    <x v="1"/>
    <x v="23"/>
    <x v="1"/>
    <x v="0"/>
    <x v="1"/>
    <x v="1"/>
    <n v="37"/>
    <x v="3"/>
    <x v="1"/>
  </r>
  <r>
    <n v="3532"/>
    <x v="22"/>
    <x v="1"/>
    <x v="9"/>
    <x v="1"/>
    <n v="52"/>
    <s v="North Dakota"/>
    <x v="3"/>
    <x v="10"/>
    <x v="0"/>
    <x v="12"/>
    <x v="1"/>
    <x v="4"/>
    <x v="1"/>
    <x v="1"/>
    <n v="23"/>
    <x v="1"/>
    <x v="3"/>
  </r>
  <r>
    <n v="3533"/>
    <x v="12"/>
    <x v="1"/>
    <x v="13"/>
    <x v="0"/>
    <n v="68"/>
    <s v="Connecticut"/>
    <x v="0"/>
    <x v="21"/>
    <x v="3"/>
    <x v="12"/>
    <x v="1"/>
    <x v="3"/>
    <x v="1"/>
    <x v="1"/>
    <n v="12"/>
    <x v="2"/>
    <x v="2"/>
  </r>
  <r>
    <n v="3534"/>
    <x v="2"/>
    <x v="1"/>
    <x v="4"/>
    <x v="1"/>
    <n v="98"/>
    <s v="Texas"/>
    <x v="0"/>
    <x v="22"/>
    <x v="3"/>
    <x v="10"/>
    <x v="1"/>
    <x v="3"/>
    <x v="1"/>
    <x v="1"/>
    <n v="30"/>
    <x v="0"/>
    <x v="0"/>
  </r>
  <r>
    <n v="3535"/>
    <x v="13"/>
    <x v="1"/>
    <x v="9"/>
    <x v="1"/>
    <n v="83"/>
    <s v="Delaware"/>
    <x v="2"/>
    <x v="0"/>
    <x v="3"/>
    <x v="4"/>
    <x v="1"/>
    <x v="0"/>
    <x v="1"/>
    <x v="1"/>
    <n v="7"/>
    <x v="1"/>
    <x v="1"/>
  </r>
  <r>
    <n v="3536"/>
    <x v="33"/>
    <x v="1"/>
    <x v="6"/>
    <x v="0"/>
    <n v="51"/>
    <s v="Mississippi"/>
    <x v="2"/>
    <x v="16"/>
    <x v="2"/>
    <x v="16"/>
    <x v="1"/>
    <x v="0"/>
    <x v="1"/>
    <x v="1"/>
    <n v="20"/>
    <x v="5"/>
    <x v="5"/>
  </r>
  <r>
    <n v="3537"/>
    <x v="0"/>
    <x v="1"/>
    <x v="8"/>
    <x v="3"/>
    <n v="21"/>
    <s v="Minnesota"/>
    <x v="0"/>
    <x v="15"/>
    <x v="1"/>
    <x v="9"/>
    <x v="1"/>
    <x v="0"/>
    <x v="1"/>
    <x v="1"/>
    <n v="10"/>
    <x v="0"/>
    <x v="5"/>
  </r>
  <r>
    <n v="3538"/>
    <x v="9"/>
    <x v="1"/>
    <x v="8"/>
    <x v="3"/>
    <n v="92"/>
    <s v="Georgia"/>
    <x v="2"/>
    <x v="0"/>
    <x v="1"/>
    <x v="1"/>
    <x v="1"/>
    <x v="3"/>
    <x v="1"/>
    <x v="1"/>
    <n v="40"/>
    <x v="2"/>
    <x v="6"/>
  </r>
  <r>
    <n v="3539"/>
    <x v="19"/>
    <x v="1"/>
    <x v="9"/>
    <x v="1"/>
    <n v="63"/>
    <s v="Iowa"/>
    <x v="1"/>
    <x v="3"/>
    <x v="1"/>
    <x v="9"/>
    <x v="1"/>
    <x v="5"/>
    <x v="1"/>
    <x v="1"/>
    <n v="21"/>
    <x v="0"/>
    <x v="5"/>
  </r>
  <r>
    <n v="3540"/>
    <x v="26"/>
    <x v="1"/>
    <x v="16"/>
    <x v="3"/>
    <n v="56"/>
    <s v="New York"/>
    <x v="1"/>
    <x v="14"/>
    <x v="1"/>
    <x v="4"/>
    <x v="1"/>
    <x v="0"/>
    <x v="1"/>
    <x v="1"/>
    <n v="17"/>
    <x v="2"/>
    <x v="4"/>
  </r>
  <r>
    <n v="3541"/>
    <x v="41"/>
    <x v="1"/>
    <x v="6"/>
    <x v="0"/>
    <n v="95"/>
    <s v="Nevada"/>
    <x v="2"/>
    <x v="23"/>
    <x v="1"/>
    <x v="12"/>
    <x v="1"/>
    <x v="1"/>
    <x v="1"/>
    <x v="1"/>
    <n v="5"/>
    <x v="4"/>
    <x v="1"/>
  </r>
  <r>
    <n v="3542"/>
    <x v="35"/>
    <x v="1"/>
    <x v="0"/>
    <x v="0"/>
    <n v="66"/>
    <s v="Virginia"/>
    <x v="2"/>
    <x v="8"/>
    <x v="0"/>
    <x v="17"/>
    <x v="1"/>
    <x v="2"/>
    <x v="1"/>
    <x v="1"/>
    <n v="22"/>
    <x v="3"/>
    <x v="2"/>
  </r>
  <r>
    <n v="3543"/>
    <x v="46"/>
    <x v="1"/>
    <x v="7"/>
    <x v="2"/>
    <n v="28"/>
    <s v="Idaho"/>
    <x v="1"/>
    <x v="8"/>
    <x v="1"/>
    <x v="19"/>
    <x v="1"/>
    <x v="0"/>
    <x v="1"/>
    <x v="1"/>
    <n v="5"/>
    <x v="0"/>
    <x v="1"/>
  </r>
  <r>
    <n v="3544"/>
    <x v="44"/>
    <x v="1"/>
    <x v="19"/>
    <x v="3"/>
    <n v="83"/>
    <s v="Colorado"/>
    <x v="2"/>
    <x v="24"/>
    <x v="0"/>
    <x v="7"/>
    <x v="1"/>
    <x v="3"/>
    <x v="1"/>
    <x v="1"/>
    <n v="18"/>
    <x v="3"/>
    <x v="6"/>
  </r>
  <r>
    <n v="3545"/>
    <x v="14"/>
    <x v="1"/>
    <x v="20"/>
    <x v="0"/>
    <n v="55"/>
    <s v="Wisconsin"/>
    <x v="3"/>
    <x v="4"/>
    <x v="3"/>
    <x v="15"/>
    <x v="1"/>
    <x v="4"/>
    <x v="1"/>
    <x v="1"/>
    <n v="42"/>
    <x v="1"/>
    <x v="6"/>
  </r>
  <r>
    <n v="3546"/>
    <x v="39"/>
    <x v="1"/>
    <x v="3"/>
    <x v="1"/>
    <n v="28"/>
    <s v="Connecticut"/>
    <x v="2"/>
    <x v="22"/>
    <x v="1"/>
    <x v="18"/>
    <x v="1"/>
    <x v="4"/>
    <x v="1"/>
    <x v="1"/>
    <n v="22"/>
    <x v="5"/>
    <x v="2"/>
  </r>
  <r>
    <n v="3547"/>
    <x v="52"/>
    <x v="1"/>
    <x v="18"/>
    <x v="3"/>
    <n v="79"/>
    <s v="Kansas"/>
    <x v="2"/>
    <x v="10"/>
    <x v="2"/>
    <x v="15"/>
    <x v="1"/>
    <x v="1"/>
    <x v="1"/>
    <x v="1"/>
    <n v="37"/>
    <x v="4"/>
    <x v="4"/>
  </r>
  <r>
    <n v="3548"/>
    <x v="16"/>
    <x v="1"/>
    <x v="18"/>
    <x v="3"/>
    <n v="31"/>
    <s v="Pennsylvania"/>
    <x v="0"/>
    <x v="23"/>
    <x v="2"/>
    <x v="22"/>
    <x v="1"/>
    <x v="3"/>
    <x v="1"/>
    <x v="1"/>
    <n v="23"/>
    <x v="2"/>
    <x v="2"/>
  </r>
  <r>
    <n v="3549"/>
    <x v="6"/>
    <x v="1"/>
    <x v="0"/>
    <x v="0"/>
    <n v="37"/>
    <s v="Utah"/>
    <x v="2"/>
    <x v="16"/>
    <x v="3"/>
    <x v="21"/>
    <x v="1"/>
    <x v="3"/>
    <x v="1"/>
    <x v="1"/>
    <n v="47"/>
    <x v="5"/>
    <x v="0"/>
  </r>
  <r>
    <n v="3550"/>
    <x v="42"/>
    <x v="1"/>
    <x v="17"/>
    <x v="0"/>
    <n v="34"/>
    <s v="Oregon"/>
    <x v="2"/>
    <x v="17"/>
    <x v="2"/>
    <x v="23"/>
    <x v="1"/>
    <x v="4"/>
    <x v="1"/>
    <x v="1"/>
    <n v="11"/>
    <x v="4"/>
    <x v="0"/>
  </r>
  <r>
    <n v="3551"/>
    <x v="6"/>
    <x v="1"/>
    <x v="9"/>
    <x v="1"/>
    <n v="74"/>
    <s v="West Virginia"/>
    <x v="1"/>
    <x v="20"/>
    <x v="0"/>
    <x v="6"/>
    <x v="1"/>
    <x v="3"/>
    <x v="1"/>
    <x v="1"/>
    <n v="32"/>
    <x v="1"/>
    <x v="1"/>
  </r>
  <r>
    <n v="3552"/>
    <x v="17"/>
    <x v="1"/>
    <x v="24"/>
    <x v="3"/>
    <n v="31"/>
    <s v="Montana"/>
    <x v="0"/>
    <x v="13"/>
    <x v="1"/>
    <x v="5"/>
    <x v="1"/>
    <x v="5"/>
    <x v="1"/>
    <x v="1"/>
    <n v="20"/>
    <x v="0"/>
    <x v="1"/>
  </r>
  <r>
    <n v="3553"/>
    <x v="40"/>
    <x v="1"/>
    <x v="12"/>
    <x v="3"/>
    <n v="66"/>
    <s v="Kentucky"/>
    <x v="2"/>
    <x v="24"/>
    <x v="0"/>
    <x v="3"/>
    <x v="1"/>
    <x v="2"/>
    <x v="1"/>
    <x v="1"/>
    <n v="3"/>
    <x v="3"/>
    <x v="3"/>
  </r>
  <r>
    <n v="3554"/>
    <x v="46"/>
    <x v="1"/>
    <x v="9"/>
    <x v="1"/>
    <n v="99"/>
    <s v="Minnesota"/>
    <x v="2"/>
    <x v="4"/>
    <x v="1"/>
    <x v="8"/>
    <x v="1"/>
    <x v="1"/>
    <x v="1"/>
    <x v="1"/>
    <n v="32"/>
    <x v="4"/>
    <x v="1"/>
  </r>
  <r>
    <n v="3555"/>
    <x v="31"/>
    <x v="1"/>
    <x v="10"/>
    <x v="0"/>
    <n v="55"/>
    <s v="Louisiana"/>
    <x v="2"/>
    <x v="21"/>
    <x v="1"/>
    <x v="16"/>
    <x v="1"/>
    <x v="1"/>
    <x v="1"/>
    <x v="1"/>
    <n v="5"/>
    <x v="2"/>
    <x v="0"/>
  </r>
  <r>
    <n v="3556"/>
    <x v="15"/>
    <x v="1"/>
    <x v="0"/>
    <x v="0"/>
    <n v="23"/>
    <s v="Delaware"/>
    <x v="0"/>
    <x v="5"/>
    <x v="1"/>
    <x v="12"/>
    <x v="1"/>
    <x v="2"/>
    <x v="1"/>
    <x v="1"/>
    <n v="45"/>
    <x v="1"/>
    <x v="3"/>
  </r>
  <r>
    <n v="3557"/>
    <x v="27"/>
    <x v="1"/>
    <x v="1"/>
    <x v="0"/>
    <n v="88"/>
    <s v="Arizona"/>
    <x v="2"/>
    <x v="18"/>
    <x v="3"/>
    <x v="19"/>
    <x v="1"/>
    <x v="0"/>
    <x v="1"/>
    <x v="1"/>
    <n v="43"/>
    <x v="1"/>
    <x v="4"/>
  </r>
  <r>
    <n v="3558"/>
    <x v="16"/>
    <x v="1"/>
    <x v="14"/>
    <x v="2"/>
    <n v="26"/>
    <s v="Nevada"/>
    <x v="2"/>
    <x v="15"/>
    <x v="2"/>
    <x v="8"/>
    <x v="1"/>
    <x v="2"/>
    <x v="1"/>
    <x v="1"/>
    <n v="1"/>
    <x v="3"/>
    <x v="6"/>
  </r>
  <r>
    <n v="3559"/>
    <x v="33"/>
    <x v="1"/>
    <x v="21"/>
    <x v="3"/>
    <n v="94"/>
    <s v="Alaska"/>
    <x v="0"/>
    <x v="23"/>
    <x v="2"/>
    <x v="6"/>
    <x v="1"/>
    <x v="3"/>
    <x v="1"/>
    <x v="1"/>
    <n v="9"/>
    <x v="0"/>
    <x v="3"/>
  </r>
  <r>
    <n v="3560"/>
    <x v="20"/>
    <x v="1"/>
    <x v="6"/>
    <x v="0"/>
    <n v="25"/>
    <s v="Utah"/>
    <x v="2"/>
    <x v="19"/>
    <x v="3"/>
    <x v="21"/>
    <x v="1"/>
    <x v="2"/>
    <x v="1"/>
    <x v="1"/>
    <n v="13"/>
    <x v="0"/>
    <x v="6"/>
  </r>
  <r>
    <n v="3561"/>
    <x v="20"/>
    <x v="1"/>
    <x v="20"/>
    <x v="0"/>
    <n v="96"/>
    <s v="Kansas"/>
    <x v="3"/>
    <x v="10"/>
    <x v="3"/>
    <x v="1"/>
    <x v="1"/>
    <x v="0"/>
    <x v="1"/>
    <x v="1"/>
    <n v="5"/>
    <x v="2"/>
    <x v="2"/>
  </r>
  <r>
    <n v="3562"/>
    <x v="6"/>
    <x v="1"/>
    <x v="4"/>
    <x v="1"/>
    <n v="29"/>
    <s v="North Carolina"/>
    <x v="0"/>
    <x v="13"/>
    <x v="1"/>
    <x v="23"/>
    <x v="1"/>
    <x v="3"/>
    <x v="1"/>
    <x v="1"/>
    <n v="39"/>
    <x v="2"/>
    <x v="0"/>
  </r>
  <r>
    <n v="3563"/>
    <x v="36"/>
    <x v="1"/>
    <x v="4"/>
    <x v="1"/>
    <n v="36"/>
    <s v="Maryland"/>
    <x v="2"/>
    <x v="17"/>
    <x v="0"/>
    <x v="23"/>
    <x v="1"/>
    <x v="1"/>
    <x v="1"/>
    <x v="1"/>
    <n v="7"/>
    <x v="4"/>
    <x v="1"/>
  </r>
  <r>
    <n v="3564"/>
    <x v="49"/>
    <x v="1"/>
    <x v="0"/>
    <x v="0"/>
    <n v="90"/>
    <s v="Maine"/>
    <x v="2"/>
    <x v="14"/>
    <x v="2"/>
    <x v="8"/>
    <x v="1"/>
    <x v="3"/>
    <x v="1"/>
    <x v="1"/>
    <n v="8"/>
    <x v="2"/>
    <x v="6"/>
  </r>
  <r>
    <n v="3565"/>
    <x v="52"/>
    <x v="1"/>
    <x v="24"/>
    <x v="3"/>
    <n v="38"/>
    <s v="Illinois"/>
    <x v="1"/>
    <x v="18"/>
    <x v="2"/>
    <x v="14"/>
    <x v="1"/>
    <x v="1"/>
    <x v="1"/>
    <x v="1"/>
    <n v="40"/>
    <x v="0"/>
    <x v="2"/>
  </r>
  <r>
    <n v="3566"/>
    <x v="34"/>
    <x v="1"/>
    <x v="8"/>
    <x v="3"/>
    <n v="52"/>
    <s v="Pennsylvania"/>
    <x v="1"/>
    <x v="0"/>
    <x v="1"/>
    <x v="19"/>
    <x v="1"/>
    <x v="5"/>
    <x v="1"/>
    <x v="1"/>
    <n v="35"/>
    <x v="3"/>
    <x v="5"/>
  </r>
  <r>
    <n v="3567"/>
    <x v="48"/>
    <x v="1"/>
    <x v="2"/>
    <x v="0"/>
    <n v="88"/>
    <s v="Alaska"/>
    <x v="1"/>
    <x v="20"/>
    <x v="1"/>
    <x v="0"/>
    <x v="1"/>
    <x v="2"/>
    <x v="1"/>
    <x v="1"/>
    <n v="14"/>
    <x v="0"/>
    <x v="5"/>
  </r>
  <r>
    <n v="3568"/>
    <x v="45"/>
    <x v="1"/>
    <x v="18"/>
    <x v="3"/>
    <n v="56"/>
    <s v="New Mexico"/>
    <x v="1"/>
    <x v="5"/>
    <x v="2"/>
    <x v="17"/>
    <x v="1"/>
    <x v="2"/>
    <x v="1"/>
    <x v="1"/>
    <n v="26"/>
    <x v="2"/>
    <x v="5"/>
  </r>
  <r>
    <n v="3569"/>
    <x v="26"/>
    <x v="1"/>
    <x v="3"/>
    <x v="1"/>
    <n v="71"/>
    <s v="Arkansas"/>
    <x v="2"/>
    <x v="7"/>
    <x v="1"/>
    <x v="6"/>
    <x v="1"/>
    <x v="2"/>
    <x v="1"/>
    <x v="1"/>
    <n v="14"/>
    <x v="3"/>
    <x v="3"/>
  </r>
  <r>
    <n v="3570"/>
    <x v="25"/>
    <x v="1"/>
    <x v="3"/>
    <x v="1"/>
    <n v="94"/>
    <s v="Alaska"/>
    <x v="2"/>
    <x v="8"/>
    <x v="3"/>
    <x v="13"/>
    <x v="1"/>
    <x v="0"/>
    <x v="1"/>
    <x v="1"/>
    <n v="9"/>
    <x v="4"/>
    <x v="0"/>
  </r>
  <r>
    <n v="3571"/>
    <x v="51"/>
    <x v="1"/>
    <x v="10"/>
    <x v="0"/>
    <n v="97"/>
    <s v="Louisiana"/>
    <x v="3"/>
    <x v="11"/>
    <x v="0"/>
    <x v="10"/>
    <x v="1"/>
    <x v="3"/>
    <x v="1"/>
    <x v="1"/>
    <n v="32"/>
    <x v="5"/>
    <x v="2"/>
  </r>
  <r>
    <n v="3572"/>
    <x v="27"/>
    <x v="1"/>
    <x v="11"/>
    <x v="0"/>
    <n v="27"/>
    <s v="North Dakota"/>
    <x v="2"/>
    <x v="3"/>
    <x v="2"/>
    <x v="4"/>
    <x v="1"/>
    <x v="3"/>
    <x v="1"/>
    <x v="1"/>
    <n v="15"/>
    <x v="4"/>
    <x v="6"/>
  </r>
  <r>
    <n v="3573"/>
    <x v="51"/>
    <x v="1"/>
    <x v="6"/>
    <x v="0"/>
    <n v="28"/>
    <s v="Rhode Island"/>
    <x v="2"/>
    <x v="13"/>
    <x v="1"/>
    <x v="16"/>
    <x v="1"/>
    <x v="3"/>
    <x v="1"/>
    <x v="1"/>
    <n v="25"/>
    <x v="2"/>
    <x v="5"/>
  </r>
  <r>
    <n v="3574"/>
    <x v="49"/>
    <x v="1"/>
    <x v="2"/>
    <x v="0"/>
    <n v="67"/>
    <s v="Connecticut"/>
    <x v="0"/>
    <x v="1"/>
    <x v="3"/>
    <x v="8"/>
    <x v="1"/>
    <x v="1"/>
    <x v="1"/>
    <x v="1"/>
    <n v="27"/>
    <x v="3"/>
    <x v="5"/>
  </r>
  <r>
    <n v="3575"/>
    <x v="26"/>
    <x v="1"/>
    <x v="20"/>
    <x v="0"/>
    <n v="70"/>
    <s v="New York"/>
    <x v="2"/>
    <x v="17"/>
    <x v="3"/>
    <x v="8"/>
    <x v="1"/>
    <x v="0"/>
    <x v="1"/>
    <x v="1"/>
    <n v="39"/>
    <x v="4"/>
    <x v="3"/>
  </r>
  <r>
    <n v="3576"/>
    <x v="12"/>
    <x v="1"/>
    <x v="7"/>
    <x v="2"/>
    <n v="95"/>
    <s v="Kentucky"/>
    <x v="2"/>
    <x v="10"/>
    <x v="3"/>
    <x v="18"/>
    <x v="1"/>
    <x v="0"/>
    <x v="1"/>
    <x v="1"/>
    <n v="49"/>
    <x v="0"/>
    <x v="4"/>
  </r>
  <r>
    <n v="3577"/>
    <x v="26"/>
    <x v="1"/>
    <x v="23"/>
    <x v="1"/>
    <n v="24"/>
    <s v="Maine"/>
    <x v="0"/>
    <x v="22"/>
    <x v="1"/>
    <x v="21"/>
    <x v="1"/>
    <x v="0"/>
    <x v="1"/>
    <x v="1"/>
    <n v="12"/>
    <x v="0"/>
    <x v="4"/>
  </r>
  <r>
    <n v="3578"/>
    <x v="17"/>
    <x v="1"/>
    <x v="22"/>
    <x v="3"/>
    <n v="35"/>
    <s v="Missouri"/>
    <x v="1"/>
    <x v="22"/>
    <x v="0"/>
    <x v="5"/>
    <x v="1"/>
    <x v="3"/>
    <x v="1"/>
    <x v="1"/>
    <n v="13"/>
    <x v="4"/>
    <x v="1"/>
  </r>
  <r>
    <n v="3579"/>
    <x v="5"/>
    <x v="1"/>
    <x v="9"/>
    <x v="1"/>
    <n v="22"/>
    <s v="Georgia"/>
    <x v="0"/>
    <x v="8"/>
    <x v="0"/>
    <x v="5"/>
    <x v="1"/>
    <x v="3"/>
    <x v="1"/>
    <x v="1"/>
    <n v="22"/>
    <x v="4"/>
    <x v="3"/>
  </r>
  <r>
    <n v="3580"/>
    <x v="50"/>
    <x v="1"/>
    <x v="18"/>
    <x v="3"/>
    <n v="66"/>
    <s v="Arizona"/>
    <x v="0"/>
    <x v="8"/>
    <x v="3"/>
    <x v="6"/>
    <x v="1"/>
    <x v="3"/>
    <x v="1"/>
    <x v="1"/>
    <n v="19"/>
    <x v="2"/>
    <x v="6"/>
  </r>
  <r>
    <n v="3581"/>
    <x v="47"/>
    <x v="1"/>
    <x v="0"/>
    <x v="0"/>
    <n v="83"/>
    <s v="New Hampshire"/>
    <x v="2"/>
    <x v="23"/>
    <x v="2"/>
    <x v="4"/>
    <x v="1"/>
    <x v="4"/>
    <x v="1"/>
    <x v="1"/>
    <n v="3"/>
    <x v="1"/>
    <x v="4"/>
  </r>
  <r>
    <n v="3582"/>
    <x v="8"/>
    <x v="1"/>
    <x v="10"/>
    <x v="0"/>
    <n v="95"/>
    <s v="Georgia"/>
    <x v="2"/>
    <x v="20"/>
    <x v="3"/>
    <x v="8"/>
    <x v="1"/>
    <x v="2"/>
    <x v="1"/>
    <x v="1"/>
    <n v="50"/>
    <x v="2"/>
    <x v="1"/>
  </r>
  <r>
    <n v="3583"/>
    <x v="51"/>
    <x v="1"/>
    <x v="6"/>
    <x v="0"/>
    <n v="41"/>
    <s v="California"/>
    <x v="1"/>
    <x v="19"/>
    <x v="2"/>
    <x v="23"/>
    <x v="1"/>
    <x v="4"/>
    <x v="1"/>
    <x v="1"/>
    <n v="15"/>
    <x v="3"/>
    <x v="2"/>
  </r>
  <r>
    <n v="3584"/>
    <x v="16"/>
    <x v="1"/>
    <x v="0"/>
    <x v="0"/>
    <n v="77"/>
    <s v="Arizona"/>
    <x v="0"/>
    <x v="18"/>
    <x v="2"/>
    <x v="2"/>
    <x v="1"/>
    <x v="5"/>
    <x v="1"/>
    <x v="1"/>
    <n v="44"/>
    <x v="2"/>
    <x v="6"/>
  </r>
  <r>
    <n v="3585"/>
    <x v="31"/>
    <x v="1"/>
    <x v="4"/>
    <x v="1"/>
    <n v="52"/>
    <s v="Florida"/>
    <x v="0"/>
    <x v="21"/>
    <x v="3"/>
    <x v="6"/>
    <x v="1"/>
    <x v="0"/>
    <x v="1"/>
    <x v="1"/>
    <n v="48"/>
    <x v="5"/>
    <x v="5"/>
  </r>
  <r>
    <n v="3586"/>
    <x v="31"/>
    <x v="1"/>
    <x v="24"/>
    <x v="3"/>
    <n v="41"/>
    <s v="New York"/>
    <x v="3"/>
    <x v="0"/>
    <x v="0"/>
    <x v="7"/>
    <x v="1"/>
    <x v="3"/>
    <x v="1"/>
    <x v="1"/>
    <n v="4"/>
    <x v="0"/>
    <x v="4"/>
  </r>
  <r>
    <n v="3587"/>
    <x v="23"/>
    <x v="1"/>
    <x v="15"/>
    <x v="0"/>
    <n v="28"/>
    <s v="Idaho"/>
    <x v="2"/>
    <x v="22"/>
    <x v="0"/>
    <x v="12"/>
    <x v="1"/>
    <x v="5"/>
    <x v="1"/>
    <x v="1"/>
    <n v="12"/>
    <x v="3"/>
    <x v="4"/>
  </r>
  <r>
    <n v="3588"/>
    <x v="23"/>
    <x v="1"/>
    <x v="1"/>
    <x v="0"/>
    <n v="90"/>
    <s v="Virginia"/>
    <x v="1"/>
    <x v="10"/>
    <x v="2"/>
    <x v="14"/>
    <x v="1"/>
    <x v="3"/>
    <x v="1"/>
    <x v="1"/>
    <n v="33"/>
    <x v="5"/>
    <x v="2"/>
  </r>
  <r>
    <n v="3589"/>
    <x v="51"/>
    <x v="1"/>
    <x v="12"/>
    <x v="3"/>
    <n v="55"/>
    <s v="Michigan"/>
    <x v="2"/>
    <x v="23"/>
    <x v="1"/>
    <x v="1"/>
    <x v="1"/>
    <x v="4"/>
    <x v="1"/>
    <x v="1"/>
    <n v="40"/>
    <x v="1"/>
    <x v="2"/>
  </r>
  <r>
    <n v="3590"/>
    <x v="18"/>
    <x v="1"/>
    <x v="22"/>
    <x v="3"/>
    <n v="73"/>
    <s v="New Hampshire"/>
    <x v="2"/>
    <x v="24"/>
    <x v="1"/>
    <x v="6"/>
    <x v="1"/>
    <x v="2"/>
    <x v="1"/>
    <x v="1"/>
    <n v="38"/>
    <x v="1"/>
    <x v="6"/>
  </r>
  <r>
    <n v="3591"/>
    <x v="7"/>
    <x v="1"/>
    <x v="10"/>
    <x v="0"/>
    <n v="87"/>
    <s v="South Dakota"/>
    <x v="2"/>
    <x v="0"/>
    <x v="3"/>
    <x v="3"/>
    <x v="1"/>
    <x v="4"/>
    <x v="1"/>
    <x v="1"/>
    <n v="19"/>
    <x v="0"/>
    <x v="6"/>
  </r>
  <r>
    <n v="3592"/>
    <x v="39"/>
    <x v="1"/>
    <x v="14"/>
    <x v="2"/>
    <n v="89"/>
    <s v="South Dakota"/>
    <x v="2"/>
    <x v="9"/>
    <x v="0"/>
    <x v="4"/>
    <x v="1"/>
    <x v="4"/>
    <x v="1"/>
    <x v="1"/>
    <n v="38"/>
    <x v="4"/>
    <x v="3"/>
  </r>
  <r>
    <n v="3593"/>
    <x v="12"/>
    <x v="1"/>
    <x v="23"/>
    <x v="1"/>
    <n v="82"/>
    <s v="New Jersey"/>
    <x v="0"/>
    <x v="12"/>
    <x v="1"/>
    <x v="14"/>
    <x v="1"/>
    <x v="4"/>
    <x v="1"/>
    <x v="1"/>
    <n v="18"/>
    <x v="0"/>
    <x v="0"/>
  </r>
  <r>
    <n v="3594"/>
    <x v="6"/>
    <x v="1"/>
    <x v="3"/>
    <x v="1"/>
    <n v="80"/>
    <s v="Wyoming"/>
    <x v="2"/>
    <x v="13"/>
    <x v="1"/>
    <x v="12"/>
    <x v="1"/>
    <x v="2"/>
    <x v="1"/>
    <x v="1"/>
    <n v="24"/>
    <x v="3"/>
    <x v="5"/>
  </r>
  <r>
    <n v="3595"/>
    <x v="1"/>
    <x v="1"/>
    <x v="18"/>
    <x v="3"/>
    <n v="87"/>
    <s v="Alabama"/>
    <x v="0"/>
    <x v="4"/>
    <x v="2"/>
    <x v="5"/>
    <x v="1"/>
    <x v="4"/>
    <x v="1"/>
    <x v="1"/>
    <n v="29"/>
    <x v="0"/>
    <x v="3"/>
  </r>
  <r>
    <n v="3596"/>
    <x v="3"/>
    <x v="1"/>
    <x v="0"/>
    <x v="0"/>
    <n v="41"/>
    <s v="South Dakota"/>
    <x v="2"/>
    <x v="10"/>
    <x v="1"/>
    <x v="0"/>
    <x v="1"/>
    <x v="5"/>
    <x v="1"/>
    <x v="1"/>
    <n v="14"/>
    <x v="3"/>
    <x v="2"/>
  </r>
  <r>
    <n v="3597"/>
    <x v="48"/>
    <x v="1"/>
    <x v="15"/>
    <x v="0"/>
    <n v="83"/>
    <s v="South Carolina"/>
    <x v="2"/>
    <x v="4"/>
    <x v="1"/>
    <x v="24"/>
    <x v="1"/>
    <x v="3"/>
    <x v="1"/>
    <x v="1"/>
    <n v="44"/>
    <x v="1"/>
    <x v="0"/>
  </r>
  <r>
    <n v="3598"/>
    <x v="26"/>
    <x v="1"/>
    <x v="12"/>
    <x v="3"/>
    <n v="71"/>
    <s v="New Mexico"/>
    <x v="2"/>
    <x v="1"/>
    <x v="2"/>
    <x v="0"/>
    <x v="1"/>
    <x v="3"/>
    <x v="1"/>
    <x v="1"/>
    <n v="18"/>
    <x v="4"/>
    <x v="3"/>
  </r>
  <r>
    <n v="3599"/>
    <x v="51"/>
    <x v="1"/>
    <x v="15"/>
    <x v="0"/>
    <n v="76"/>
    <s v="Connecticut"/>
    <x v="3"/>
    <x v="7"/>
    <x v="1"/>
    <x v="12"/>
    <x v="1"/>
    <x v="5"/>
    <x v="1"/>
    <x v="1"/>
    <n v="19"/>
    <x v="4"/>
    <x v="4"/>
  </r>
  <r>
    <n v="3600"/>
    <x v="43"/>
    <x v="1"/>
    <x v="18"/>
    <x v="3"/>
    <n v="34"/>
    <s v="Kansas"/>
    <x v="1"/>
    <x v="15"/>
    <x v="1"/>
    <x v="12"/>
    <x v="1"/>
    <x v="0"/>
    <x v="1"/>
    <x v="1"/>
    <n v="4"/>
    <x v="1"/>
    <x v="1"/>
  </r>
  <r>
    <n v="3601"/>
    <x v="29"/>
    <x v="1"/>
    <x v="10"/>
    <x v="0"/>
    <n v="81"/>
    <s v="South Carolina"/>
    <x v="3"/>
    <x v="8"/>
    <x v="1"/>
    <x v="2"/>
    <x v="1"/>
    <x v="1"/>
    <x v="1"/>
    <x v="1"/>
    <n v="25"/>
    <x v="1"/>
    <x v="4"/>
  </r>
  <r>
    <n v="3602"/>
    <x v="50"/>
    <x v="1"/>
    <x v="17"/>
    <x v="0"/>
    <n v="47"/>
    <s v="North Carolina"/>
    <x v="2"/>
    <x v="21"/>
    <x v="2"/>
    <x v="21"/>
    <x v="1"/>
    <x v="2"/>
    <x v="1"/>
    <x v="1"/>
    <n v="3"/>
    <x v="3"/>
    <x v="5"/>
  </r>
  <r>
    <n v="3603"/>
    <x v="44"/>
    <x v="1"/>
    <x v="11"/>
    <x v="0"/>
    <n v="36"/>
    <s v="Wyoming"/>
    <x v="1"/>
    <x v="23"/>
    <x v="2"/>
    <x v="13"/>
    <x v="1"/>
    <x v="5"/>
    <x v="1"/>
    <x v="1"/>
    <n v="40"/>
    <x v="5"/>
    <x v="3"/>
  </r>
  <r>
    <n v="3604"/>
    <x v="4"/>
    <x v="1"/>
    <x v="2"/>
    <x v="0"/>
    <n v="51"/>
    <s v="Louisiana"/>
    <x v="2"/>
    <x v="9"/>
    <x v="1"/>
    <x v="2"/>
    <x v="1"/>
    <x v="1"/>
    <x v="1"/>
    <x v="1"/>
    <n v="5"/>
    <x v="1"/>
    <x v="1"/>
  </r>
  <r>
    <n v="3605"/>
    <x v="6"/>
    <x v="1"/>
    <x v="15"/>
    <x v="0"/>
    <n v="86"/>
    <s v="Louisiana"/>
    <x v="2"/>
    <x v="20"/>
    <x v="3"/>
    <x v="13"/>
    <x v="1"/>
    <x v="3"/>
    <x v="1"/>
    <x v="1"/>
    <n v="17"/>
    <x v="5"/>
    <x v="2"/>
  </r>
  <r>
    <n v="3606"/>
    <x v="33"/>
    <x v="1"/>
    <x v="2"/>
    <x v="0"/>
    <n v="41"/>
    <s v="Alabama"/>
    <x v="2"/>
    <x v="9"/>
    <x v="3"/>
    <x v="24"/>
    <x v="1"/>
    <x v="5"/>
    <x v="1"/>
    <x v="1"/>
    <n v="36"/>
    <x v="4"/>
    <x v="6"/>
  </r>
  <r>
    <n v="3607"/>
    <x v="38"/>
    <x v="1"/>
    <x v="3"/>
    <x v="1"/>
    <n v="90"/>
    <s v="Minnesota"/>
    <x v="3"/>
    <x v="7"/>
    <x v="3"/>
    <x v="6"/>
    <x v="1"/>
    <x v="0"/>
    <x v="1"/>
    <x v="1"/>
    <n v="41"/>
    <x v="0"/>
    <x v="2"/>
  </r>
  <r>
    <n v="3608"/>
    <x v="2"/>
    <x v="1"/>
    <x v="19"/>
    <x v="3"/>
    <n v="93"/>
    <s v="New Mexico"/>
    <x v="0"/>
    <x v="4"/>
    <x v="3"/>
    <x v="13"/>
    <x v="1"/>
    <x v="3"/>
    <x v="1"/>
    <x v="1"/>
    <n v="20"/>
    <x v="0"/>
    <x v="4"/>
  </r>
  <r>
    <n v="3609"/>
    <x v="41"/>
    <x v="1"/>
    <x v="24"/>
    <x v="3"/>
    <n v="56"/>
    <s v="Tennessee"/>
    <x v="2"/>
    <x v="17"/>
    <x v="3"/>
    <x v="24"/>
    <x v="1"/>
    <x v="2"/>
    <x v="1"/>
    <x v="1"/>
    <n v="2"/>
    <x v="1"/>
    <x v="6"/>
  </r>
  <r>
    <n v="3610"/>
    <x v="3"/>
    <x v="1"/>
    <x v="20"/>
    <x v="0"/>
    <n v="39"/>
    <s v="New Mexico"/>
    <x v="2"/>
    <x v="17"/>
    <x v="2"/>
    <x v="21"/>
    <x v="1"/>
    <x v="4"/>
    <x v="1"/>
    <x v="1"/>
    <n v="31"/>
    <x v="5"/>
    <x v="5"/>
  </r>
  <r>
    <n v="3611"/>
    <x v="20"/>
    <x v="1"/>
    <x v="14"/>
    <x v="2"/>
    <n v="86"/>
    <s v="Texas"/>
    <x v="3"/>
    <x v="14"/>
    <x v="3"/>
    <x v="6"/>
    <x v="1"/>
    <x v="4"/>
    <x v="1"/>
    <x v="1"/>
    <n v="23"/>
    <x v="4"/>
    <x v="0"/>
  </r>
  <r>
    <n v="3612"/>
    <x v="6"/>
    <x v="1"/>
    <x v="17"/>
    <x v="0"/>
    <n v="82"/>
    <s v="Washington"/>
    <x v="2"/>
    <x v="5"/>
    <x v="1"/>
    <x v="3"/>
    <x v="1"/>
    <x v="3"/>
    <x v="1"/>
    <x v="1"/>
    <n v="30"/>
    <x v="2"/>
    <x v="2"/>
  </r>
  <r>
    <n v="3613"/>
    <x v="36"/>
    <x v="1"/>
    <x v="3"/>
    <x v="1"/>
    <n v="29"/>
    <s v="Michigan"/>
    <x v="2"/>
    <x v="11"/>
    <x v="2"/>
    <x v="15"/>
    <x v="1"/>
    <x v="3"/>
    <x v="1"/>
    <x v="1"/>
    <n v="26"/>
    <x v="1"/>
    <x v="6"/>
  </r>
  <r>
    <n v="3614"/>
    <x v="44"/>
    <x v="1"/>
    <x v="19"/>
    <x v="3"/>
    <n v="27"/>
    <s v="Minnesota"/>
    <x v="2"/>
    <x v="23"/>
    <x v="3"/>
    <x v="1"/>
    <x v="1"/>
    <x v="5"/>
    <x v="1"/>
    <x v="1"/>
    <n v="40"/>
    <x v="0"/>
    <x v="2"/>
  </r>
  <r>
    <n v="3615"/>
    <x v="5"/>
    <x v="1"/>
    <x v="24"/>
    <x v="3"/>
    <n v="25"/>
    <s v="Delaware"/>
    <x v="0"/>
    <x v="1"/>
    <x v="1"/>
    <x v="10"/>
    <x v="1"/>
    <x v="4"/>
    <x v="1"/>
    <x v="1"/>
    <n v="19"/>
    <x v="4"/>
    <x v="2"/>
  </r>
  <r>
    <n v="3616"/>
    <x v="25"/>
    <x v="1"/>
    <x v="10"/>
    <x v="0"/>
    <n v="31"/>
    <s v="California"/>
    <x v="2"/>
    <x v="9"/>
    <x v="0"/>
    <x v="14"/>
    <x v="1"/>
    <x v="1"/>
    <x v="1"/>
    <x v="1"/>
    <n v="4"/>
    <x v="2"/>
    <x v="5"/>
  </r>
  <r>
    <n v="3617"/>
    <x v="32"/>
    <x v="1"/>
    <x v="15"/>
    <x v="0"/>
    <n v="23"/>
    <s v="Wisconsin"/>
    <x v="0"/>
    <x v="7"/>
    <x v="0"/>
    <x v="13"/>
    <x v="1"/>
    <x v="5"/>
    <x v="1"/>
    <x v="1"/>
    <n v="33"/>
    <x v="5"/>
    <x v="0"/>
  </r>
  <r>
    <n v="3618"/>
    <x v="39"/>
    <x v="1"/>
    <x v="22"/>
    <x v="3"/>
    <n v="47"/>
    <s v="Kentucky"/>
    <x v="2"/>
    <x v="12"/>
    <x v="3"/>
    <x v="24"/>
    <x v="1"/>
    <x v="0"/>
    <x v="1"/>
    <x v="1"/>
    <n v="29"/>
    <x v="5"/>
    <x v="5"/>
  </r>
  <r>
    <n v="3619"/>
    <x v="48"/>
    <x v="1"/>
    <x v="24"/>
    <x v="3"/>
    <n v="67"/>
    <s v="Nevada"/>
    <x v="2"/>
    <x v="1"/>
    <x v="3"/>
    <x v="17"/>
    <x v="1"/>
    <x v="4"/>
    <x v="1"/>
    <x v="1"/>
    <n v="47"/>
    <x v="3"/>
    <x v="4"/>
  </r>
  <r>
    <n v="3620"/>
    <x v="42"/>
    <x v="1"/>
    <x v="18"/>
    <x v="3"/>
    <n v="75"/>
    <s v="North Carolina"/>
    <x v="1"/>
    <x v="23"/>
    <x v="0"/>
    <x v="8"/>
    <x v="1"/>
    <x v="4"/>
    <x v="1"/>
    <x v="1"/>
    <n v="50"/>
    <x v="0"/>
    <x v="1"/>
  </r>
  <r>
    <n v="3621"/>
    <x v="52"/>
    <x v="1"/>
    <x v="3"/>
    <x v="1"/>
    <n v="82"/>
    <s v="Louisiana"/>
    <x v="2"/>
    <x v="2"/>
    <x v="2"/>
    <x v="3"/>
    <x v="1"/>
    <x v="0"/>
    <x v="1"/>
    <x v="1"/>
    <n v="28"/>
    <x v="2"/>
    <x v="0"/>
  </r>
  <r>
    <n v="3622"/>
    <x v="21"/>
    <x v="1"/>
    <x v="4"/>
    <x v="1"/>
    <n v="32"/>
    <s v="New Jersey"/>
    <x v="3"/>
    <x v="5"/>
    <x v="2"/>
    <x v="17"/>
    <x v="1"/>
    <x v="4"/>
    <x v="1"/>
    <x v="1"/>
    <n v="5"/>
    <x v="1"/>
    <x v="0"/>
  </r>
  <r>
    <n v="3623"/>
    <x v="5"/>
    <x v="1"/>
    <x v="10"/>
    <x v="0"/>
    <n v="41"/>
    <s v="Wisconsin"/>
    <x v="2"/>
    <x v="7"/>
    <x v="3"/>
    <x v="24"/>
    <x v="1"/>
    <x v="5"/>
    <x v="1"/>
    <x v="1"/>
    <n v="12"/>
    <x v="2"/>
    <x v="2"/>
  </r>
  <r>
    <n v="3624"/>
    <x v="31"/>
    <x v="1"/>
    <x v="16"/>
    <x v="3"/>
    <n v="89"/>
    <s v="Arkansas"/>
    <x v="2"/>
    <x v="10"/>
    <x v="0"/>
    <x v="2"/>
    <x v="1"/>
    <x v="4"/>
    <x v="1"/>
    <x v="1"/>
    <n v="4"/>
    <x v="3"/>
    <x v="1"/>
  </r>
  <r>
    <n v="3625"/>
    <x v="40"/>
    <x v="1"/>
    <x v="19"/>
    <x v="3"/>
    <n v="82"/>
    <s v="Texas"/>
    <x v="3"/>
    <x v="15"/>
    <x v="3"/>
    <x v="16"/>
    <x v="1"/>
    <x v="5"/>
    <x v="1"/>
    <x v="1"/>
    <n v="22"/>
    <x v="4"/>
    <x v="4"/>
  </r>
  <r>
    <n v="3626"/>
    <x v="42"/>
    <x v="1"/>
    <x v="18"/>
    <x v="3"/>
    <n v="99"/>
    <s v="Illinois"/>
    <x v="0"/>
    <x v="14"/>
    <x v="0"/>
    <x v="14"/>
    <x v="1"/>
    <x v="0"/>
    <x v="1"/>
    <x v="1"/>
    <n v="32"/>
    <x v="3"/>
    <x v="1"/>
  </r>
  <r>
    <n v="3627"/>
    <x v="28"/>
    <x v="1"/>
    <x v="0"/>
    <x v="0"/>
    <n v="98"/>
    <s v="Mississippi"/>
    <x v="0"/>
    <x v="11"/>
    <x v="3"/>
    <x v="1"/>
    <x v="1"/>
    <x v="0"/>
    <x v="1"/>
    <x v="1"/>
    <n v="32"/>
    <x v="0"/>
    <x v="3"/>
  </r>
  <r>
    <n v="3628"/>
    <x v="31"/>
    <x v="1"/>
    <x v="22"/>
    <x v="3"/>
    <n v="54"/>
    <s v="Delaware"/>
    <x v="2"/>
    <x v="5"/>
    <x v="0"/>
    <x v="13"/>
    <x v="1"/>
    <x v="2"/>
    <x v="1"/>
    <x v="1"/>
    <n v="48"/>
    <x v="1"/>
    <x v="6"/>
  </r>
  <r>
    <n v="3629"/>
    <x v="10"/>
    <x v="1"/>
    <x v="0"/>
    <x v="0"/>
    <n v="88"/>
    <s v="Georgia"/>
    <x v="0"/>
    <x v="7"/>
    <x v="2"/>
    <x v="22"/>
    <x v="1"/>
    <x v="1"/>
    <x v="1"/>
    <x v="1"/>
    <n v="35"/>
    <x v="2"/>
    <x v="5"/>
  </r>
  <r>
    <n v="3630"/>
    <x v="16"/>
    <x v="1"/>
    <x v="17"/>
    <x v="0"/>
    <n v="43"/>
    <s v="Kansas"/>
    <x v="0"/>
    <x v="12"/>
    <x v="2"/>
    <x v="9"/>
    <x v="1"/>
    <x v="3"/>
    <x v="1"/>
    <x v="1"/>
    <n v="44"/>
    <x v="5"/>
    <x v="0"/>
  </r>
  <r>
    <n v="3631"/>
    <x v="13"/>
    <x v="1"/>
    <x v="19"/>
    <x v="3"/>
    <n v="73"/>
    <s v="Oklahoma"/>
    <x v="2"/>
    <x v="12"/>
    <x v="0"/>
    <x v="6"/>
    <x v="1"/>
    <x v="5"/>
    <x v="1"/>
    <x v="1"/>
    <n v="29"/>
    <x v="1"/>
    <x v="1"/>
  </r>
  <r>
    <n v="3632"/>
    <x v="39"/>
    <x v="1"/>
    <x v="19"/>
    <x v="3"/>
    <n v="50"/>
    <s v="New Jersey"/>
    <x v="2"/>
    <x v="15"/>
    <x v="3"/>
    <x v="3"/>
    <x v="1"/>
    <x v="5"/>
    <x v="1"/>
    <x v="1"/>
    <n v="26"/>
    <x v="2"/>
    <x v="5"/>
  </r>
  <r>
    <n v="3633"/>
    <x v="7"/>
    <x v="1"/>
    <x v="4"/>
    <x v="1"/>
    <n v="73"/>
    <s v="Utah"/>
    <x v="0"/>
    <x v="14"/>
    <x v="1"/>
    <x v="4"/>
    <x v="1"/>
    <x v="0"/>
    <x v="1"/>
    <x v="1"/>
    <n v="3"/>
    <x v="5"/>
    <x v="3"/>
  </r>
  <r>
    <n v="3634"/>
    <x v="31"/>
    <x v="1"/>
    <x v="24"/>
    <x v="3"/>
    <n v="51"/>
    <s v="Montana"/>
    <x v="2"/>
    <x v="20"/>
    <x v="1"/>
    <x v="11"/>
    <x v="1"/>
    <x v="1"/>
    <x v="1"/>
    <x v="1"/>
    <n v="1"/>
    <x v="4"/>
    <x v="4"/>
  </r>
  <r>
    <n v="3635"/>
    <x v="35"/>
    <x v="1"/>
    <x v="20"/>
    <x v="0"/>
    <n v="22"/>
    <s v="Ohio"/>
    <x v="2"/>
    <x v="6"/>
    <x v="0"/>
    <x v="13"/>
    <x v="1"/>
    <x v="3"/>
    <x v="1"/>
    <x v="1"/>
    <n v="17"/>
    <x v="3"/>
    <x v="2"/>
  </r>
  <r>
    <n v="3636"/>
    <x v="16"/>
    <x v="1"/>
    <x v="3"/>
    <x v="1"/>
    <n v="32"/>
    <s v="Colorado"/>
    <x v="0"/>
    <x v="17"/>
    <x v="3"/>
    <x v="13"/>
    <x v="1"/>
    <x v="1"/>
    <x v="1"/>
    <x v="1"/>
    <n v="17"/>
    <x v="2"/>
    <x v="0"/>
  </r>
  <r>
    <n v="3637"/>
    <x v="2"/>
    <x v="1"/>
    <x v="3"/>
    <x v="1"/>
    <n v="38"/>
    <s v="California"/>
    <x v="0"/>
    <x v="12"/>
    <x v="2"/>
    <x v="19"/>
    <x v="1"/>
    <x v="4"/>
    <x v="1"/>
    <x v="1"/>
    <n v="36"/>
    <x v="1"/>
    <x v="1"/>
  </r>
  <r>
    <n v="3638"/>
    <x v="45"/>
    <x v="1"/>
    <x v="23"/>
    <x v="1"/>
    <n v="66"/>
    <s v="Utah"/>
    <x v="0"/>
    <x v="22"/>
    <x v="0"/>
    <x v="15"/>
    <x v="1"/>
    <x v="0"/>
    <x v="1"/>
    <x v="1"/>
    <n v="32"/>
    <x v="2"/>
    <x v="0"/>
  </r>
  <r>
    <n v="3639"/>
    <x v="37"/>
    <x v="1"/>
    <x v="21"/>
    <x v="3"/>
    <n v="20"/>
    <s v="Kansas"/>
    <x v="2"/>
    <x v="8"/>
    <x v="1"/>
    <x v="12"/>
    <x v="1"/>
    <x v="0"/>
    <x v="1"/>
    <x v="1"/>
    <n v="50"/>
    <x v="3"/>
    <x v="4"/>
  </r>
  <r>
    <n v="3640"/>
    <x v="8"/>
    <x v="1"/>
    <x v="7"/>
    <x v="2"/>
    <n v="44"/>
    <s v="Illinois"/>
    <x v="2"/>
    <x v="18"/>
    <x v="2"/>
    <x v="15"/>
    <x v="1"/>
    <x v="4"/>
    <x v="1"/>
    <x v="1"/>
    <n v="39"/>
    <x v="0"/>
    <x v="2"/>
  </r>
  <r>
    <n v="3641"/>
    <x v="36"/>
    <x v="1"/>
    <x v="12"/>
    <x v="3"/>
    <n v="31"/>
    <s v="Minnesota"/>
    <x v="0"/>
    <x v="6"/>
    <x v="1"/>
    <x v="17"/>
    <x v="1"/>
    <x v="2"/>
    <x v="1"/>
    <x v="1"/>
    <n v="17"/>
    <x v="3"/>
    <x v="5"/>
  </r>
  <r>
    <n v="3642"/>
    <x v="47"/>
    <x v="1"/>
    <x v="14"/>
    <x v="2"/>
    <n v="45"/>
    <s v="New York"/>
    <x v="2"/>
    <x v="17"/>
    <x v="3"/>
    <x v="2"/>
    <x v="1"/>
    <x v="1"/>
    <x v="1"/>
    <x v="1"/>
    <n v="39"/>
    <x v="4"/>
    <x v="6"/>
  </r>
  <r>
    <n v="3643"/>
    <x v="36"/>
    <x v="1"/>
    <x v="10"/>
    <x v="0"/>
    <n v="71"/>
    <s v="Arizona"/>
    <x v="0"/>
    <x v="1"/>
    <x v="2"/>
    <x v="14"/>
    <x v="1"/>
    <x v="5"/>
    <x v="1"/>
    <x v="1"/>
    <n v="5"/>
    <x v="3"/>
    <x v="2"/>
  </r>
  <r>
    <n v="3644"/>
    <x v="10"/>
    <x v="1"/>
    <x v="18"/>
    <x v="3"/>
    <n v="96"/>
    <s v="Tennessee"/>
    <x v="3"/>
    <x v="23"/>
    <x v="3"/>
    <x v="4"/>
    <x v="1"/>
    <x v="3"/>
    <x v="1"/>
    <x v="1"/>
    <n v="47"/>
    <x v="5"/>
    <x v="2"/>
  </r>
  <r>
    <n v="3645"/>
    <x v="25"/>
    <x v="1"/>
    <x v="0"/>
    <x v="0"/>
    <n v="32"/>
    <s v="Arkansas"/>
    <x v="2"/>
    <x v="10"/>
    <x v="0"/>
    <x v="5"/>
    <x v="1"/>
    <x v="2"/>
    <x v="1"/>
    <x v="1"/>
    <n v="18"/>
    <x v="0"/>
    <x v="1"/>
  </r>
  <r>
    <n v="3646"/>
    <x v="21"/>
    <x v="1"/>
    <x v="21"/>
    <x v="3"/>
    <n v="90"/>
    <s v="Colorado"/>
    <x v="0"/>
    <x v="5"/>
    <x v="2"/>
    <x v="23"/>
    <x v="1"/>
    <x v="1"/>
    <x v="1"/>
    <x v="1"/>
    <n v="31"/>
    <x v="2"/>
    <x v="6"/>
  </r>
  <r>
    <n v="3647"/>
    <x v="28"/>
    <x v="1"/>
    <x v="16"/>
    <x v="3"/>
    <n v="68"/>
    <s v="Nevada"/>
    <x v="2"/>
    <x v="1"/>
    <x v="1"/>
    <x v="16"/>
    <x v="1"/>
    <x v="4"/>
    <x v="1"/>
    <x v="1"/>
    <n v="39"/>
    <x v="5"/>
    <x v="0"/>
  </r>
  <r>
    <n v="3648"/>
    <x v="36"/>
    <x v="1"/>
    <x v="6"/>
    <x v="0"/>
    <n v="45"/>
    <s v="Kansas"/>
    <x v="2"/>
    <x v="0"/>
    <x v="0"/>
    <x v="3"/>
    <x v="1"/>
    <x v="5"/>
    <x v="1"/>
    <x v="1"/>
    <n v="12"/>
    <x v="4"/>
    <x v="1"/>
  </r>
  <r>
    <n v="3649"/>
    <x v="18"/>
    <x v="1"/>
    <x v="11"/>
    <x v="0"/>
    <n v="67"/>
    <s v="New York"/>
    <x v="2"/>
    <x v="3"/>
    <x v="0"/>
    <x v="16"/>
    <x v="1"/>
    <x v="1"/>
    <x v="1"/>
    <x v="1"/>
    <n v="45"/>
    <x v="1"/>
    <x v="4"/>
  </r>
  <r>
    <n v="3650"/>
    <x v="33"/>
    <x v="1"/>
    <x v="11"/>
    <x v="0"/>
    <n v="57"/>
    <s v="Minnesota"/>
    <x v="2"/>
    <x v="18"/>
    <x v="3"/>
    <x v="14"/>
    <x v="1"/>
    <x v="3"/>
    <x v="1"/>
    <x v="1"/>
    <n v="33"/>
    <x v="2"/>
    <x v="0"/>
  </r>
  <r>
    <n v="3651"/>
    <x v="47"/>
    <x v="1"/>
    <x v="2"/>
    <x v="0"/>
    <n v="60"/>
    <s v="Ohio"/>
    <x v="2"/>
    <x v="5"/>
    <x v="2"/>
    <x v="1"/>
    <x v="1"/>
    <x v="4"/>
    <x v="1"/>
    <x v="1"/>
    <n v="3"/>
    <x v="3"/>
    <x v="2"/>
  </r>
  <r>
    <n v="3652"/>
    <x v="30"/>
    <x v="1"/>
    <x v="8"/>
    <x v="3"/>
    <n v="32"/>
    <s v="Arizona"/>
    <x v="2"/>
    <x v="22"/>
    <x v="1"/>
    <x v="22"/>
    <x v="1"/>
    <x v="0"/>
    <x v="1"/>
    <x v="1"/>
    <n v="5"/>
    <x v="0"/>
    <x v="6"/>
  </r>
  <r>
    <n v="3653"/>
    <x v="7"/>
    <x v="1"/>
    <x v="8"/>
    <x v="3"/>
    <n v="29"/>
    <s v="Kentucky"/>
    <x v="1"/>
    <x v="23"/>
    <x v="3"/>
    <x v="22"/>
    <x v="1"/>
    <x v="5"/>
    <x v="1"/>
    <x v="1"/>
    <n v="23"/>
    <x v="5"/>
    <x v="5"/>
  </r>
  <r>
    <n v="3654"/>
    <x v="29"/>
    <x v="1"/>
    <x v="7"/>
    <x v="2"/>
    <n v="20"/>
    <s v="Minnesota"/>
    <x v="2"/>
    <x v="24"/>
    <x v="1"/>
    <x v="20"/>
    <x v="1"/>
    <x v="2"/>
    <x v="1"/>
    <x v="1"/>
    <n v="39"/>
    <x v="2"/>
    <x v="0"/>
  </r>
  <r>
    <n v="3655"/>
    <x v="3"/>
    <x v="1"/>
    <x v="16"/>
    <x v="3"/>
    <n v="98"/>
    <s v="Arkansas"/>
    <x v="2"/>
    <x v="14"/>
    <x v="0"/>
    <x v="13"/>
    <x v="1"/>
    <x v="2"/>
    <x v="1"/>
    <x v="1"/>
    <n v="10"/>
    <x v="2"/>
    <x v="2"/>
  </r>
  <r>
    <n v="3656"/>
    <x v="30"/>
    <x v="1"/>
    <x v="1"/>
    <x v="0"/>
    <n v="27"/>
    <s v="Wyoming"/>
    <x v="2"/>
    <x v="22"/>
    <x v="3"/>
    <x v="3"/>
    <x v="1"/>
    <x v="2"/>
    <x v="1"/>
    <x v="1"/>
    <n v="4"/>
    <x v="2"/>
    <x v="4"/>
  </r>
  <r>
    <n v="3657"/>
    <x v="25"/>
    <x v="1"/>
    <x v="14"/>
    <x v="2"/>
    <n v="67"/>
    <s v="North Dakota"/>
    <x v="3"/>
    <x v="17"/>
    <x v="1"/>
    <x v="18"/>
    <x v="1"/>
    <x v="4"/>
    <x v="1"/>
    <x v="1"/>
    <n v="18"/>
    <x v="2"/>
    <x v="5"/>
  </r>
  <r>
    <n v="3658"/>
    <x v="44"/>
    <x v="1"/>
    <x v="9"/>
    <x v="1"/>
    <n v="82"/>
    <s v="Alabama"/>
    <x v="0"/>
    <x v="9"/>
    <x v="0"/>
    <x v="18"/>
    <x v="1"/>
    <x v="0"/>
    <x v="1"/>
    <x v="1"/>
    <n v="1"/>
    <x v="5"/>
    <x v="6"/>
  </r>
  <r>
    <n v="3659"/>
    <x v="48"/>
    <x v="1"/>
    <x v="17"/>
    <x v="0"/>
    <n v="72"/>
    <s v="Mississippi"/>
    <x v="2"/>
    <x v="23"/>
    <x v="3"/>
    <x v="12"/>
    <x v="1"/>
    <x v="3"/>
    <x v="1"/>
    <x v="1"/>
    <n v="18"/>
    <x v="3"/>
    <x v="0"/>
  </r>
  <r>
    <n v="3660"/>
    <x v="7"/>
    <x v="1"/>
    <x v="3"/>
    <x v="1"/>
    <n v="77"/>
    <s v="Illinois"/>
    <x v="1"/>
    <x v="0"/>
    <x v="3"/>
    <x v="8"/>
    <x v="1"/>
    <x v="5"/>
    <x v="1"/>
    <x v="1"/>
    <n v="46"/>
    <x v="4"/>
    <x v="2"/>
  </r>
  <r>
    <n v="3661"/>
    <x v="1"/>
    <x v="1"/>
    <x v="9"/>
    <x v="1"/>
    <n v="74"/>
    <s v="Arkansas"/>
    <x v="0"/>
    <x v="21"/>
    <x v="0"/>
    <x v="0"/>
    <x v="1"/>
    <x v="4"/>
    <x v="1"/>
    <x v="1"/>
    <n v="13"/>
    <x v="4"/>
    <x v="0"/>
  </r>
  <r>
    <n v="3662"/>
    <x v="6"/>
    <x v="1"/>
    <x v="3"/>
    <x v="1"/>
    <n v="39"/>
    <s v="Kansas"/>
    <x v="1"/>
    <x v="3"/>
    <x v="0"/>
    <x v="1"/>
    <x v="1"/>
    <x v="2"/>
    <x v="1"/>
    <x v="1"/>
    <n v="5"/>
    <x v="2"/>
    <x v="0"/>
  </r>
  <r>
    <n v="3663"/>
    <x v="28"/>
    <x v="1"/>
    <x v="6"/>
    <x v="0"/>
    <n v="80"/>
    <s v="Rhode Island"/>
    <x v="2"/>
    <x v="21"/>
    <x v="1"/>
    <x v="8"/>
    <x v="1"/>
    <x v="2"/>
    <x v="1"/>
    <x v="1"/>
    <n v="11"/>
    <x v="5"/>
    <x v="1"/>
  </r>
  <r>
    <n v="3664"/>
    <x v="13"/>
    <x v="1"/>
    <x v="21"/>
    <x v="3"/>
    <n v="59"/>
    <s v="Florida"/>
    <x v="2"/>
    <x v="14"/>
    <x v="2"/>
    <x v="14"/>
    <x v="1"/>
    <x v="0"/>
    <x v="1"/>
    <x v="1"/>
    <n v="49"/>
    <x v="2"/>
    <x v="1"/>
  </r>
  <r>
    <n v="3665"/>
    <x v="6"/>
    <x v="1"/>
    <x v="14"/>
    <x v="2"/>
    <n v="68"/>
    <s v="Missouri"/>
    <x v="2"/>
    <x v="2"/>
    <x v="3"/>
    <x v="14"/>
    <x v="1"/>
    <x v="5"/>
    <x v="1"/>
    <x v="1"/>
    <n v="1"/>
    <x v="5"/>
    <x v="0"/>
  </r>
  <r>
    <n v="3666"/>
    <x v="48"/>
    <x v="1"/>
    <x v="20"/>
    <x v="0"/>
    <n v="77"/>
    <s v="North Carolina"/>
    <x v="2"/>
    <x v="15"/>
    <x v="3"/>
    <x v="23"/>
    <x v="1"/>
    <x v="2"/>
    <x v="1"/>
    <x v="1"/>
    <n v="11"/>
    <x v="2"/>
    <x v="3"/>
  </r>
  <r>
    <n v="3667"/>
    <x v="29"/>
    <x v="1"/>
    <x v="16"/>
    <x v="3"/>
    <n v="50"/>
    <s v="Alabama"/>
    <x v="2"/>
    <x v="8"/>
    <x v="0"/>
    <x v="21"/>
    <x v="1"/>
    <x v="4"/>
    <x v="1"/>
    <x v="1"/>
    <n v="47"/>
    <x v="1"/>
    <x v="6"/>
  </r>
  <r>
    <n v="3668"/>
    <x v="47"/>
    <x v="1"/>
    <x v="13"/>
    <x v="0"/>
    <n v="45"/>
    <s v="Washington"/>
    <x v="0"/>
    <x v="17"/>
    <x v="3"/>
    <x v="5"/>
    <x v="1"/>
    <x v="2"/>
    <x v="1"/>
    <x v="1"/>
    <n v="20"/>
    <x v="0"/>
    <x v="5"/>
  </r>
  <r>
    <n v="3669"/>
    <x v="35"/>
    <x v="1"/>
    <x v="0"/>
    <x v="0"/>
    <n v="71"/>
    <s v="Michigan"/>
    <x v="3"/>
    <x v="23"/>
    <x v="2"/>
    <x v="4"/>
    <x v="1"/>
    <x v="5"/>
    <x v="1"/>
    <x v="1"/>
    <n v="18"/>
    <x v="0"/>
    <x v="2"/>
  </r>
  <r>
    <n v="3670"/>
    <x v="15"/>
    <x v="1"/>
    <x v="20"/>
    <x v="0"/>
    <n v="52"/>
    <s v="Washington"/>
    <x v="1"/>
    <x v="5"/>
    <x v="3"/>
    <x v="12"/>
    <x v="1"/>
    <x v="5"/>
    <x v="1"/>
    <x v="1"/>
    <n v="43"/>
    <x v="3"/>
    <x v="3"/>
  </r>
  <r>
    <n v="3671"/>
    <x v="18"/>
    <x v="1"/>
    <x v="9"/>
    <x v="1"/>
    <n v="50"/>
    <s v="Vermont"/>
    <x v="1"/>
    <x v="3"/>
    <x v="0"/>
    <x v="22"/>
    <x v="1"/>
    <x v="1"/>
    <x v="1"/>
    <x v="1"/>
    <n v="4"/>
    <x v="3"/>
    <x v="6"/>
  </r>
  <r>
    <n v="3672"/>
    <x v="46"/>
    <x v="1"/>
    <x v="8"/>
    <x v="3"/>
    <n v="66"/>
    <s v="Illinois"/>
    <x v="0"/>
    <x v="6"/>
    <x v="2"/>
    <x v="6"/>
    <x v="1"/>
    <x v="4"/>
    <x v="1"/>
    <x v="1"/>
    <n v="20"/>
    <x v="0"/>
    <x v="3"/>
  </r>
  <r>
    <n v="3673"/>
    <x v="47"/>
    <x v="1"/>
    <x v="3"/>
    <x v="1"/>
    <n v="81"/>
    <s v="New York"/>
    <x v="1"/>
    <x v="6"/>
    <x v="3"/>
    <x v="9"/>
    <x v="1"/>
    <x v="1"/>
    <x v="1"/>
    <x v="1"/>
    <n v="7"/>
    <x v="3"/>
    <x v="5"/>
  </r>
  <r>
    <n v="3674"/>
    <x v="45"/>
    <x v="1"/>
    <x v="20"/>
    <x v="0"/>
    <n v="28"/>
    <s v="Rhode Island"/>
    <x v="2"/>
    <x v="6"/>
    <x v="2"/>
    <x v="19"/>
    <x v="1"/>
    <x v="4"/>
    <x v="1"/>
    <x v="1"/>
    <n v="31"/>
    <x v="4"/>
    <x v="0"/>
  </r>
  <r>
    <n v="3675"/>
    <x v="25"/>
    <x v="1"/>
    <x v="8"/>
    <x v="3"/>
    <n v="65"/>
    <s v="Washington"/>
    <x v="2"/>
    <x v="24"/>
    <x v="0"/>
    <x v="2"/>
    <x v="1"/>
    <x v="4"/>
    <x v="1"/>
    <x v="1"/>
    <n v="41"/>
    <x v="0"/>
    <x v="0"/>
  </r>
  <r>
    <n v="3676"/>
    <x v="27"/>
    <x v="1"/>
    <x v="19"/>
    <x v="3"/>
    <n v="80"/>
    <s v="Virginia"/>
    <x v="2"/>
    <x v="3"/>
    <x v="0"/>
    <x v="9"/>
    <x v="1"/>
    <x v="0"/>
    <x v="1"/>
    <x v="1"/>
    <n v="3"/>
    <x v="4"/>
    <x v="5"/>
  </r>
  <r>
    <n v="3677"/>
    <x v="1"/>
    <x v="1"/>
    <x v="16"/>
    <x v="3"/>
    <n v="94"/>
    <s v="Wisconsin"/>
    <x v="1"/>
    <x v="11"/>
    <x v="1"/>
    <x v="8"/>
    <x v="1"/>
    <x v="1"/>
    <x v="1"/>
    <x v="1"/>
    <n v="16"/>
    <x v="3"/>
    <x v="5"/>
  </r>
  <r>
    <n v="3678"/>
    <x v="45"/>
    <x v="1"/>
    <x v="21"/>
    <x v="3"/>
    <n v="30"/>
    <s v="Michigan"/>
    <x v="2"/>
    <x v="0"/>
    <x v="3"/>
    <x v="11"/>
    <x v="1"/>
    <x v="3"/>
    <x v="1"/>
    <x v="1"/>
    <n v="43"/>
    <x v="1"/>
    <x v="2"/>
  </r>
  <r>
    <n v="3679"/>
    <x v="19"/>
    <x v="1"/>
    <x v="5"/>
    <x v="0"/>
    <n v="45"/>
    <s v="Texas"/>
    <x v="1"/>
    <x v="19"/>
    <x v="3"/>
    <x v="1"/>
    <x v="1"/>
    <x v="3"/>
    <x v="1"/>
    <x v="1"/>
    <n v="29"/>
    <x v="4"/>
    <x v="0"/>
  </r>
  <r>
    <n v="3680"/>
    <x v="10"/>
    <x v="1"/>
    <x v="7"/>
    <x v="2"/>
    <n v="91"/>
    <s v="Idaho"/>
    <x v="2"/>
    <x v="10"/>
    <x v="2"/>
    <x v="25"/>
    <x v="1"/>
    <x v="5"/>
    <x v="1"/>
    <x v="1"/>
    <n v="5"/>
    <x v="1"/>
    <x v="4"/>
  </r>
  <r>
    <n v="3681"/>
    <x v="40"/>
    <x v="1"/>
    <x v="12"/>
    <x v="3"/>
    <n v="36"/>
    <s v="Iowa"/>
    <x v="1"/>
    <x v="24"/>
    <x v="0"/>
    <x v="3"/>
    <x v="1"/>
    <x v="3"/>
    <x v="1"/>
    <x v="1"/>
    <n v="30"/>
    <x v="5"/>
    <x v="3"/>
  </r>
  <r>
    <n v="3682"/>
    <x v="8"/>
    <x v="1"/>
    <x v="24"/>
    <x v="3"/>
    <n v="73"/>
    <s v="Connecticut"/>
    <x v="3"/>
    <x v="23"/>
    <x v="3"/>
    <x v="19"/>
    <x v="1"/>
    <x v="2"/>
    <x v="1"/>
    <x v="1"/>
    <n v="33"/>
    <x v="5"/>
    <x v="5"/>
  </r>
  <r>
    <n v="3683"/>
    <x v="32"/>
    <x v="1"/>
    <x v="5"/>
    <x v="0"/>
    <n v="60"/>
    <s v="Wyoming"/>
    <x v="2"/>
    <x v="1"/>
    <x v="3"/>
    <x v="12"/>
    <x v="1"/>
    <x v="5"/>
    <x v="1"/>
    <x v="1"/>
    <n v="46"/>
    <x v="0"/>
    <x v="4"/>
  </r>
  <r>
    <n v="3684"/>
    <x v="11"/>
    <x v="1"/>
    <x v="20"/>
    <x v="0"/>
    <n v="77"/>
    <s v="Mississippi"/>
    <x v="2"/>
    <x v="7"/>
    <x v="0"/>
    <x v="21"/>
    <x v="1"/>
    <x v="1"/>
    <x v="1"/>
    <x v="1"/>
    <n v="17"/>
    <x v="0"/>
    <x v="0"/>
  </r>
  <r>
    <n v="3685"/>
    <x v="26"/>
    <x v="1"/>
    <x v="11"/>
    <x v="0"/>
    <n v="86"/>
    <s v="Pennsylvania"/>
    <x v="0"/>
    <x v="4"/>
    <x v="1"/>
    <x v="14"/>
    <x v="1"/>
    <x v="1"/>
    <x v="1"/>
    <x v="1"/>
    <n v="47"/>
    <x v="2"/>
    <x v="4"/>
  </r>
  <r>
    <n v="3686"/>
    <x v="36"/>
    <x v="1"/>
    <x v="6"/>
    <x v="0"/>
    <n v="42"/>
    <s v="Tennessee"/>
    <x v="0"/>
    <x v="16"/>
    <x v="2"/>
    <x v="5"/>
    <x v="1"/>
    <x v="3"/>
    <x v="1"/>
    <x v="1"/>
    <n v="17"/>
    <x v="1"/>
    <x v="4"/>
  </r>
  <r>
    <n v="3687"/>
    <x v="35"/>
    <x v="1"/>
    <x v="3"/>
    <x v="1"/>
    <n v="70"/>
    <s v="Louisiana"/>
    <x v="2"/>
    <x v="4"/>
    <x v="1"/>
    <x v="6"/>
    <x v="1"/>
    <x v="1"/>
    <x v="1"/>
    <x v="1"/>
    <n v="17"/>
    <x v="1"/>
    <x v="4"/>
  </r>
  <r>
    <n v="3688"/>
    <x v="50"/>
    <x v="1"/>
    <x v="5"/>
    <x v="0"/>
    <n v="44"/>
    <s v="Arkansas"/>
    <x v="0"/>
    <x v="12"/>
    <x v="2"/>
    <x v="3"/>
    <x v="1"/>
    <x v="2"/>
    <x v="1"/>
    <x v="1"/>
    <n v="28"/>
    <x v="4"/>
    <x v="6"/>
  </r>
  <r>
    <n v="3689"/>
    <x v="16"/>
    <x v="1"/>
    <x v="12"/>
    <x v="3"/>
    <n v="91"/>
    <s v="West Virginia"/>
    <x v="0"/>
    <x v="3"/>
    <x v="1"/>
    <x v="21"/>
    <x v="1"/>
    <x v="2"/>
    <x v="1"/>
    <x v="1"/>
    <n v="8"/>
    <x v="1"/>
    <x v="5"/>
  </r>
  <r>
    <n v="3690"/>
    <x v="36"/>
    <x v="1"/>
    <x v="16"/>
    <x v="3"/>
    <n v="30"/>
    <s v="South Carolina"/>
    <x v="0"/>
    <x v="16"/>
    <x v="3"/>
    <x v="9"/>
    <x v="1"/>
    <x v="3"/>
    <x v="1"/>
    <x v="1"/>
    <n v="8"/>
    <x v="4"/>
    <x v="3"/>
  </r>
  <r>
    <n v="3691"/>
    <x v="41"/>
    <x v="1"/>
    <x v="0"/>
    <x v="0"/>
    <n v="23"/>
    <s v="Kansas"/>
    <x v="1"/>
    <x v="10"/>
    <x v="3"/>
    <x v="18"/>
    <x v="1"/>
    <x v="5"/>
    <x v="1"/>
    <x v="1"/>
    <n v="4"/>
    <x v="4"/>
    <x v="4"/>
  </r>
  <r>
    <n v="3692"/>
    <x v="6"/>
    <x v="1"/>
    <x v="3"/>
    <x v="1"/>
    <n v="21"/>
    <s v="Michigan"/>
    <x v="3"/>
    <x v="20"/>
    <x v="2"/>
    <x v="6"/>
    <x v="1"/>
    <x v="2"/>
    <x v="1"/>
    <x v="1"/>
    <n v="24"/>
    <x v="3"/>
    <x v="1"/>
  </r>
  <r>
    <n v="3693"/>
    <x v="35"/>
    <x v="1"/>
    <x v="7"/>
    <x v="2"/>
    <n v="34"/>
    <s v="Alabama"/>
    <x v="0"/>
    <x v="2"/>
    <x v="1"/>
    <x v="6"/>
    <x v="1"/>
    <x v="1"/>
    <x v="1"/>
    <x v="1"/>
    <n v="29"/>
    <x v="1"/>
    <x v="0"/>
  </r>
  <r>
    <n v="3694"/>
    <x v="17"/>
    <x v="1"/>
    <x v="0"/>
    <x v="0"/>
    <n v="46"/>
    <s v="South Dakota"/>
    <x v="2"/>
    <x v="10"/>
    <x v="2"/>
    <x v="10"/>
    <x v="1"/>
    <x v="4"/>
    <x v="1"/>
    <x v="1"/>
    <n v="10"/>
    <x v="0"/>
    <x v="1"/>
  </r>
  <r>
    <n v="3695"/>
    <x v="4"/>
    <x v="1"/>
    <x v="1"/>
    <x v="0"/>
    <n v="41"/>
    <s v="Rhode Island"/>
    <x v="2"/>
    <x v="24"/>
    <x v="0"/>
    <x v="5"/>
    <x v="1"/>
    <x v="0"/>
    <x v="1"/>
    <x v="1"/>
    <n v="11"/>
    <x v="3"/>
    <x v="4"/>
  </r>
  <r>
    <n v="3696"/>
    <x v="21"/>
    <x v="1"/>
    <x v="11"/>
    <x v="0"/>
    <n v="33"/>
    <s v="Florida"/>
    <x v="2"/>
    <x v="3"/>
    <x v="3"/>
    <x v="12"/>
    <x v="1"/>
    <x v="3"/>
    <x v="1"/>
    <x v="1"/>
    <n v="18"/>
    <x v="4"/>
    <x v="0"/>
  </r>
  <r>
    <n v="3697"/>
    <x v="6"/>
    <x v="1"/>
    <x v="0"/>
    <x v="0"/>
    <n v="48"/>
    <s v="Connecticut"/>
    <x v="0"/>
    <x v="2"/>
    <x v="3"/>
    <x v="23"/>
    <x v="1"/>
    <x v="2"/>
    <x v="1"/>
    <x v="1"/>
    <n v="26"/>
    <x v="4"/>
    <x v="2"/>
  </r>
  <r>
    <n v="3698"/>
    <x v="0"/>
    <x v="1"/>
    <x v="15"/>
    <x v="0"/>
    <n v="66"/>
    <s v="Pennsylvania"/>
    <x v="0"/>
    <x v="6"/>
    <x v="0"/>
    <x v="21"/>
    <x v="1"/>
    <x v="3"/>
    <x v="1"/>
    <x v="1"/>
    <n v="39"/>
    <x v="1"/>
    <x v="1"/>
  </r>
  <r>
    <n v="3699"/>
    <x v="15"/>
    <x v="1"/>
    <x v="11"/>
    <x v="0"/>
    <n v="54"/>
    <s v="California"/>
    <x v="3"/>
    <x v="1"/>
    <x v="1"/>
    <x v="17"/>
    <x v="1"/>
    <x v="4"/>
    <x v="1"/>
    <x v="1"/>
    <n v="4"/>
    <x v="0"/>
    <x v="2"/>
  </r>
  <r>
    <n v="3700"/>
    <x v="47"/>
    <x v="1"/>
    <x v="21"/>
    <x v="3"/>
    <n v="55"/>
    <s v="Oklahoma"/>
    <x v="2"/>
    <x v="8"/>
    <x v="3"/>
    <x v="5"/>
    <x v="1"/>
    <x v="5"/>
    <x v="1"/>
    <x v="1"/>
    <n v="24"/>
    <x v="4"/>
    <x v="1"/>
  </r>
  <r>
    <n v="3701"/>
    <x v="48"/>
    <x v="1"/>
    <x v="8"/>
    <x v="3"/>
    <n v="84"/>
    <s v="North Dakota"/>
    <x v="3"/>
    <x v="4"/>
    <x v="2"/>
    <x v="23"/>
    <x v="1"/>
    <x v="5"/>
    <x v="1"/>
    <x v="1"/>
    <n v="2"/>
    <x v="4"/>
    <x v="6"/>
  </r>
  <r>
    <n v="3702"/>
    <x v="5"/>
    <x v="1"/>
    <x v="3"/>
    <x v="1"/>
    <n v="66"/>
    <s v="New Mexico"/>
    <x v="2"/>
    <x v="4"/>
    <x v="1"/>
    <x v="9"/>
    <x v="1"/>
    <x v="5"/>
    <x v="1"/>
    <x v="1"/>
    <n v="36"/>
    <x v="1"/>
    <x v="2"/>
  </r>
  <r>
    <n v="3703"/>
    <x v="44"/>
    <x v="1"/>
    <x v="9"/>
    <x v="1"/>
    <n v="65"/>
    <s v="South Carolina"/>
    <x v="2"/>
    <x v="21"/>
    <x v="1"/>
    <x v="2"/>
    <x v="1"/>
    <x v="5"/>
    <x v="1"/>
    <x v="1"/>
    <n v="36"/>
    <x v="0"/>
    <x v="1"/>
  </r>
  <r>
    <n v="3704"/>
    <x v="11"/>
    <x v="1"/>
    <x v="3"/>
    <x v="1"/>
    <n v="83"/>
    <s v="Michigan"/>
    <x v="1"/>
    <x v="11"/>
    <x v="3"/>
    <x v="3"/>
    <x v="1"/>
    <x v="3"/>
    <x v="1"/>
    <x v="1"/>
    <n v="23"/>
    <x v="3"/>
    <x v="6"/>
  </r>
  <r>
    <n v="3705"/>
    <x v="33"/>
    <x v="1"/>
    <x v="12"/>
    <x v="3"/>
    <n v="61"/>
    <s v="Missouri"/>
    <x v="0"/>
    <x v="13"/>
    <x v="0"/>
    <x v="17"/>
    <x v="1"/>
    <x v="5"/>
    <x v="1"/>
    <x v="1"/>
    <n v="36"/>
    <x v="2"/>
    <x v="3"/>
  </r>
  <r>
    <n v="3706"/>
    <x v="48"/>
    <x v="1"/>
    <x v="11"/>
    <x v="0"/>
    <n v="65"/>
    <s v="Colorado"/>
    <x v="0"/>
    <x v="11"/>
    <x v="2"/>
    <x v="4"/>
    <x v="1"/>
    <x v="1"/>
    <x v="1"/>
    <x v="1"/>
    <n v="2"/>
    <x v="5"/>
    <x v="2"/>
  </r>
  <r>
    <n v="3707"/>
    <x v="8"/>
    <x v="1"/>
    <x v="3"/>
    <x v="1"/>
    <n v="55"/>
    <s v="Kansas"/>
    <x v="2"/>
    <x v="14"/>
    <x v="1"/>
    <x v="17"/>
    <x v="1"/>
    <x v="5"/>
    <x v="1"/>
    <x v="1"/>
    <n v="17"/>
    <x v="1"/>
    <x v="4"/>
  </r>
  <r>
    <n v="3708"/>
    <x v="25"/>
    <x v="1"/>
    <x v="24"/>
    <x v="3"/>
    <n v="79"/>
    <s v="Illinois"/>
    <x v="2"/>
    <x v="9"/>
    <x v="3"/>
    <x v="23"/>
    <x v="1"/>
    <x v="4"/>
    <x v="1"/>
    <x v="1"/>
    <n v="19"/>
    <x v="0"/>
    <x v="1"/>
  </r>
  <r>
    <n v="3709"/>
    <x v="37"/>
    <x v="1"/>
    <x v="15"/>
    <x v="0"/>
    <n v="96"/>
    <s v="South Carolina"/>
    <x v="2"/>
    <x v="16"/>
    <x v="3"/>
    <x v="8"/>
    <x v="1"/>
    <x v="0"/>
    <x v="1"/>
    <x v="1"/>
    <n v="41"/>
    <x v="3"/>
    <x v="5"/>
  </r>
  <r>
    <n v="3710"/>
    <x v="18"/>
    <x v="1"/>
    <x v="20"/>
    <x v="0"/>
    <n v="43"/>
    <s v="Utah"/>
    <x v="2"/>
    <x v="5"/>
    <x v="3"/>
    <x v="15"/>
    <x v="1"/>
    <x v="1"/>
    <x v="1"/>
    <x v="1"/>
    <n v="27"/>
    <x v="3"/>
    <x v="3"/>
  </r>
  <r>
    <n v="3711"/>
    <x v="52"/>
    <x v="1"/>
    <x v="16"/>
    <x v="3"/>
    <n v="40"/>
    <s v="Hawaii"/>
    <x v="2"/>
    <x v="22"/>
    <x v="2"/>
    <x v="15"/>
    <x v="1"/>
    <x v="4"/>
    <x v="1"/>
    <x v="1"/>
    <n v="32"/>
    <x v="4"/>
    <x v="0"/>
  </r>
  <r>
    <n v="3712"/>
    <x v="28"/>
    <x v="1"/>
    <x v="19"/>
    <x v="3"/>
    <n v="62"/>
    <s v="Texas"/>
    <x v="3"/>
    <x v="15"/>
    <x v="3"/>
    <x v="4"/>
    <x v="1"/>
    <x v="1"/>
    <x v="1"/>
    <x v="1"/>
    <n v="33"/>
    <x v="1"/>
    <x v="2"/>
  </r>
  <r>
    <n v="3713"/>
    <x v="47"/>
    <x v="1"/>
    <x v="0"/>
    <x v="0"/>
    <n v="72"/>
    <s v="Oregon"/>
    <x v="2"/>
    <x v="2"/>
    <x v="1"/>
    <x v="18"/>
    <x v="1"/>
    <x v="4"/>
    <x v="1"/>
    <x v="1"/>
    <n v="24"/>
    <x v="3"/>
    <x v="3"/>
  </r>
  <r>
    <n v="3714"/>
    <x v="34"/>
    <x v="1"/>
    <x v="9"/>
    <x v="1"/>
    <n v="87"/>
    <s v="Arizona"/>
    <x v="2"/>
    <x v="15"/>
    <x v="1"/>
    <x v="5"/>
    <x v="1"/>
    <x v="0"/>
    <x v="1"/>
    <x v="1"/>
    <n v="31"/>
    <x v="5"/>
    <x v="6"/>
  </r>
  <r>
    <n v="3715"/>
    <x v="20"/>
    <x v="1"/>
    <x v="19"/>
    <x v="3"/>
    <n v="31"/>
    <s v="New York"/>
    <x v="1"/>
    <x v="15"/>
    <x v="0"/>
    <x v="20"/>
    <x v="1"/>
    <x v="0"/>
    <x v="1"/>
    <x v="1"/>
    <n v="35"/>
    <x v="2"/>
    <x v="1"/>
  </r>
  <r>
    <n v="3716"/>
    <x v="6"/>
    <x v="1"/>
    <x v="12"/>
    <x v="3"/>
    <n v="34"/>
    <s v="Nebraska"/>
    <x v="1"/>
    <x v="20"/>
    <x v="3"/>
    <x v="23"/>
    <x v="1"/>
    <x v="1"/>
    <x v="1"/>
    <x v="1"/>
    <n v="2"/>
    <x v="4"/>
    <x v="5"/>
  </r>
  <r>
    <n v="3717"/>
    <x v="9"/>
    <x v="1"/>
    <x v="5"/>
    <x v="0"/>
    <n v="53"/>
    <s v="Vermont"/>
    <x v="2"/>
    <x v="4"/>
    <x v="3"/>
    <x v="23"/>
    <x v="1"/>
    <x v="2"/>
    <x v="1"/>
    <x v="1"/>
    <n v="42"/>
    <x v="5"/>
    <x v="6"/>
  </r>
  <r>
    <n v="3718"/>
    <x v="4"/>
    <x v="1"/>
    <x v="17"/>
    <x v="0"/>
    <n v="85"/>
    <s v="Maryland"/>
    <x v="3"/>
    <x v="3"/>
    <x v="2"/>
    <x v="19"/>
    <x v="1"/>
    <x v="0"/>
    <x v="1"/>
    <x v="1"/>
    <n v="47"/>
    <x v="4"/>
    <x v="6"/>
  </r>
  <r>
    <n v="3719"/>
    <x v="24"/>
    <x v="1"/>
    <x v="13"/>
    <x v="0"/>
    <n v="50"/>
    <s v="Tennessee"/>
    <x v="0"/>
    <x v="2"/>
    <x v="3"/>
    <x v="3"/>
    <x v="1"/>
    <x v="3"/>
    <x v="1"/>
    <x v="1"/>
    <n v="44"/>
    <x v="4"/>
    <x v="4"/>
  </r>
  <r>
    <n v="3720"/>
    <x v="30"/>
    <x v="1"/>
    <x v="13"/>
    <x v="0"/>
    <n v="91"/>
    <s v="Pennsylvania"/>
    <x v="2"/>
    <x v="16"/>
    <x v="2"/>
    <x v="7"/>
    <x v="1"/>
    <x v="1"/>
    <x v="1"/>
    <x v="1"/>
    <n v="8"/>
    <x v="4"/>
    <x v="6"/>
  </r>
  <r>
    <n v="3721"/>
    <x v="3"/>
    <x v="1"/>
    <x v="19"/>
    <x v="3"/>
    <n v="56"/>
    <s v="South Carolina"/>
    <x v="2"/>
    <x v="15"/>
    <x v="3"/>
    <x v="15"/>
    <x v="1"/>
    <x v="1"/>
    <x v="1"/>
    <x v="1"/>
    <n v="13"/>
    <x v="2"/>
    <x v="3"/>
  </r>
  <r>
    <n v="3722"/>
    <x v="46"/>
    <x v="1"/>
    <x v="7"/>
    <x v="2"/>
    <n v="60"/>
    <s v="Connecticut"/>
    <x v="0"/>
    <x v="6"/>
    <x v="3"/>
    <x v="17"/>
    <x v="1"/>
    <x v="2"/>
    <x v="1"/>
    <x v="1"/>
    <n v="10"/>
    <x v="1"/>
    <x v="2"/>
  </r>
  <r>
    <n v="3723"/>
    <x v="51"/>
    <x v="1"/>
    <x v="14"/>
    <x v="2"/>
    <n v="34"/>
    <s v="Kentucky"/>
    <x v="3"/>
    <x v="22"/>
    <x v="3"/>
    <x v="17"/>
    <x v="1"/>
    <x v="3"/>
    <x v="1"/>
    <x v="1"/>
    <n v="1"/>
    <x v="2"/>
    <x v="0"/>
  </r>
  <r>
    <n v="3724"/>
    <x v="8"/>
    <x v="1"/>
    <x v="3"/>
    <x v="1"/>
    <n v="30"/>
    <s v="Rhode Island"/>
    <x v="2"/>
    <x v="19"/>
    <x v="1"/>
    <x v="15"/>
    <x v="1"/>
    <x v="1"/>
    <x v="1"/>
    <x v="1"/>
    <n v="1"/>
    <x v="5"/>
    <x v="5"/>
  </r>
  <r>
    <n v="3725"/>
    <x v="11"/>
    <x v="1"/>
    <x v="24"/>
    <x v="3"/>
    <n v="71"/>
    <s v="Colorado"/>
    <x v="0"/>
    <x v="14"/>
    <x v="0"/>
    <x v="0"/>
    <x v="1"/>
    <x v="0"/>
    <x v="1"/>
    <x v="1"/>
    <n v="18"/>
    <x v="4"/>
    <x v="2"/>
  </r>
  <r>
    <n v="3726"/>
    <x v="20"/>
    <x v="1"/>
    <x v="10"/>
    <x v="0"/>
    <n v="100"/>
    <s v="Oklahoma"/>
    <x v="1"/>
    <x v="2"/>
    <x v="0"/>
    <x v="14"/>
    <x v="1"/>
    <x v="2"/>
    <x v="1"/>
    <x v="1"/>
    <n v="2"/>
    <x v="3"/>
    <x v="2"/>
  </r>
  <r>
    <n v="3727"/>
    <x v="36"/>
    <x v="1"/>
    <x v="22"/>
    <x v="3"/>
    <n v="85"/>
    <s v="Idaho"/>
    <x v="3"/>
    <x v="20"/>
    <x v="3"/>
    <x v="24"/>
    <x v="1"/>
    <x v="2"/>
    <x v="1"/>
    <x v="1"/>
    <n v="36"/>
    <x v="5"/>
    <x v="6"/>
  </r>
  <r>
    <n v="3728"/>
    <x v="38"/>
    <x v="1"/>
    <x v="20"/>
    <x v="0"/>
    <n v="83"/>
    <s v="Maine"/>
    <x v="2"/>
    <x v="9"/>
    <x v="2"/>
    <x v="1"/>
    <x v="1"/>
    <x v="2"/>
    <x v="1"/>
    <x v="1"/>
    <n v="17"/>
    <x v="5"/>
    <x v="4"/>
  </r>
  <r>
    <n v="3729"/>
    <x v="46"/>
    <x v="1"/>
    <x v="14"/>
    <x v="2"/>
    <n v="31"/>
    <s v="Vermont"/>
    <x v="0"/>
    <x v="16"/>
    <x v="0"/>
    <x v="21"/>
    <x v="1"/>
    <x v="3"/>
    <x v="1"/>
    <x v="1"/>
    <n v="1"/>
    <x v="5"/>
    <x v="2"/>
  </r>
  <r>
    <n v="3730"/>
    <x v="48"/>
    <x v="1"/>
    <x v="23"/>
    <x v="1"/>
    <n v="82"/>
    <s v="Rhode Island"/>
    <x v="2"/>
    <x v="11"/>
    <x v="1"/>
    <x v="10"/>
    <x v="1"/>
    <x v="4"/>
    <x v="1"/>
    <x v="1"/>
    <n v="50"/>
    <x v="1"/>
    <x v="3"/>
  </r>
  <r>
    <n v="3731"/>
    <x v="5"/>
    <x v="1"/>
    <x v="5"/>
    <x v="0"/>
    <n v="79"/>
    <s v="Florida"/>
    <x v="2"/>
    <x v="11"/>
    <x v="2"/>
    <x v="25"/>
    <x v="1"/>
    <x v="4"/>
    <x v="1"/>
    <x v="1"/>
    <n v="3"/>
    <x v="2"/>
    <x v="4"/>
  </r>
  <r>
    <n v="3732"/>
    <x v="22"/>
    <x v="1"/>
    <x v="19"/>
    <x v="3"/>
    <n v="62"/>
    <s v="West Virginia"/>
    <x v="2"/>
    <x v="12"/>
    <x v="1"/>
    <x v="0"/>
    <x v="1"/>
    <x v="4"/>
    <x v="1"/>
    <x v="1"/>
    <n v="45"/>
    <x v="3"/>
    <x v="3"/>
  </r>
  <r>
    <n v="3733"/>
    <x v="24"/>
    <x v="1"/>
    <x v="9"/>
    <x v="1"/>
    <n v="92"/>
    <s v="Indiana"/>
    <x v="0"/>
    <x v="6"/>
    <x v="1"/>
    <x v="13"/>
    <x v="1"/>
    <x v="1"/>
    <x v="1"/>
    <x v="1"/>
    <n v="28"/>
    <x v="3"/>
    <x v="2"/>
  </r>
  <r>
    <n v="3734"/>
    <x v="15"/>
    <x v="1"/>
    <x v="20"/>
    <x v="0"/>
    <n v="58"/>
    <s v="Illinois"/>
    <x v="2"/>
    <x v="1"/>
    <x v="3"/>
    <x v="10"/>
    <x v="1"/>
    <x v="2"/>
    <x v="1"/>
    <x v="1"/>
    <n v="6"/>
    <x v="5"/>
    <x v="6"/>
  </r>
  <r>
    <n v="3735"/>
    <x v="21"/>
    <x v="1"/>
    <x v="15"/>
    <x v="0"/>
    <n v="88"/>
    <s v="California"/>
    <x v="2"/>
    <x v="19"/>
    <x v="1"/>
    <x v="23"/>
    <x v="1"/>
    <x v="2"/>
    <x v="1"/>
    <x v="1"/>
    <n v="33"/>
    <x v="5"/>
    <x v="6"/>
  </r>
  <r>
    <n v="3736"/>
    <x v="21"/>
    <x v="1"/>
    <x v="3"/>
    <x v="1"/>
    <n v="44"/>
    <s v="Massachusetts"/>
    <x v="0"/>
    <x v="20"/>
    <x v="1"/>
    <x v="0"/>
    <x v="1"/>
    <x v="4"/>
    <x v="1"/>
    <x v="1"/>
    <n v="29"/>
    <x v="3"/>
    <x v="2"/>
  </r>
  <r>
    <n v="3737"/>
    <x v="32"/>
    <x v="1"/>
    <x v="2"/>
    <x v="0"/>
    <n v="56"/>
    <s v="Idaho"/>
    <x v="2"/>
    <x v="16"/>
    <x v="1"/>
    <x v="12"/>
    <x v="1"/>
    <x v="5"/>
    <x v="1"/>
    <x v="1"/>
    <n v="2"/>
    <x v="3"/>
    <x v="6"/>
  </r>
  <r>
    <n v="3738"/>
    <x v="1"/>
    <x v="1"/>
    <x v="16"/>
    <x v="3"/>
    <n v="23"/>
    <s v="Kentucky"/>
    <x v="1"/>
    <x v="1"/>
    <x v="0"/>
    <x v="8"/>
    <x v="1"/>
    <x v="1"/>
    <x v="1"/>
    <x v="1"/>
    <n v="43"/>
    <x v="3"/>
    <x v="4"/>
  </r>
  <r>
    <n v="3739"/>
    <x v="50"/>
    <x v="1"/>
    <x v="6"/>
    <x v="0"/>
    <n v="45"/>
    <s v="Delaware"/>
    <x v="2"/>
    <x v="18"/>
    <x v="1"/>
    <x v="2"/>
    <x v="1"/>
    <x v="1"/>
    <x v="1"/>
    <x v="1"/>
    <n v="48"/>
    <x v="1"/>
    <x v="0"/>
  </r>
  <r>
    <n v="3740"/>
    <x v="21"/>
    <x v="1"/>
    <x v="12"/>
    <x v="3"/>
    <n v="31"/>
    <s v="Idaho"/>
    <x v="2"/>
    <x v="8"/>
    <x v="3"/>
    <x v="19"/>
    <x v="1"/>
    <x v="1"/>
    <x v="1"/>
    <x v="1"/>
    <n v="43"/>
    <x v="2"/>
    <x v="1"/>
  </r>
  <r>
    <n v="3741"/>
    <x v="32"/>
    <x v="1"/>
    <x v="13"/>
    <x v="0"/>
    <n v="96"/>
    <s v="Virginia"/>
    <x v="2"/>
    <x v="5"/>
    <x v="2"/>
    <x v="5"/>
    <x v="1"/>
    <x v="5"/>
    <x v="1"/>
    <x v="1"/>
    <n v="26"/>
    <x v="5"/>
    <x v="4"/>
  </r>
  <r>
    <n v="3742"/>
    <x v="44"/>
    <x v="1"/>
    <x v="5"/>
    <x v="0"/>
    <n v="96"/>
    <s v="Arizona"/>
    <x v="2"/>
    <x v="7"/>
    <x v="1"/>
    <x v="4"/>
    <x v="1"/>
    <x v="4"/>
    <x v="1"/>
    <x v="1"/>
    <n v="26"/>
    <x v="5"/>
    <x v="4"/>
  </r>
  <r>
    <n v="3743"/>
    <x v="19"/>
    <x v="1"/>
    <x v="5"/>
    <x v="0"/>
    <n v="80"/>
    <s v="Maryland"/>
    <x v="2"/>
    <x v="0"/>
    <x v="3"/>
    <x v="14"/>
    <x v="1"/>
    <x v="3"/>
    <x v="1"/>
    <x v="1"/>
    <n v="50"/>
    <x v="2"/>
    <x v="4"/>
  </r>
  <r>
    <n v="3744"/>
    <x v="46"/>
    <x v="1"/>
    <x v="13"/>
    <x v="0"/>
    <n v="28"/>
    <s v="Idaho"/>
    <x v="0"/>
    <x v="17"/>
    <x v="3"/>
    <x v="15"/>
    <x v="1"/>
    <x v="1"/>
    <x v="1"/>
    <x v="1"/>
    <n v="36"/>
    <x v="5"/>
    <x v="3"/>
  </r>
  <r>
    <n v="3745"/>
    <x v="41"/>
    <x v="1"/>
    <x v="15"/>
    <x v="0"/>
    <n v="51"/>
    <s v="New Jersey"/>
    <x v="2"/>
    <x v="0"/>
    <x v="2"/>
    <x v="2"/>
    <x v="1"/>
    <x v="2"/>
    <x v="1"/>
    <x v="1"/>
    <n v="26"/>
    <x v="4"/>
    <x v="0"/>
  </r>
  <r>
    <n v="3746"/>
    <x v="52"/>
    <x v="1"/>
    <x v="20"/>
    <x v="0"/>
    <n v="41"/>
    <s v="Washington"/>
    <x v="0"/>
    <x v="9"/>
    <x v="1"/>
    <x v="24"/>
    <x v="1"/>
    <x v="0"/>
    <x v="1"/>
    <x v="1"/>
    <n v="2"/>
    <x v="5"/>
    <x v="5"/>
  </r>
  <r>
    <n v="3747"/>
    <x v="10"/>
    <x v="1"/>
    <x v="7"/>
    <x v="2"/>
    <n v="99"/>
    <s v="Idaho"/>
    <x v="3"/>
    <x v="17"/>
    <x v="2"/>
    <x v="5"/>
    <x v="1"/>
    <x v="2"/>
    <x v="1"/>
    <x v="1"/>
    <n v="49"/>
    <x v="3"/>
    <x v="5"/>
  </r>
  <r>
    <n v="3748"/>
    <x v="8"/>
    <x v="1"/>
    <x v="1"/>
    <x v="0"/>
    <n v="53"/>
    <s v="Rhode Island"/>
    <x v="0"/>
    <x v="8"/>
    <x v="1"/>
    <x v="24"/>
    <x v="1"/>
    <x v="5"/>
    <x v="1"/>
    <x v="1"/>
    <n v="32"/>
    <x v="4"/>
    <x v="4"/>
  </r>
  <r>
    <n v="3749"/>
    <x v="50"/>
    <x v="1"/>
    <x v="21"/>
    <x v="3"/>
    <n v="25"/>
    <s v="Delaware"/>
    <x v="2"/>
    <x v="10"/>
    <x v="3"/>
    <x v="20"/>
    <x v="1"/>
    <x v="4"/>
    <x v="1"/>
    <x v="1"/>
    <n v="3"/>
    <x v="0"/>
    <x v="2"/>
  </r>
  <r>
    <n v="3750"/>
    <x v="41"/>
    <x v="1"/>
    <x v="0"/>
    <x v="0"/>
    <n v="95"/>
    <s v="Alaska"/>
    <x v="0"/>
    <x v="22"/>
    <x v="0"/>
    <x v="3"/>
    <x v="1"/>
    <x v="4"/>
    <x v="1"/>
    <x v="1"/>
    <n v="38"/>
    <x v="0"/>
    <x v="6"/>
  </r>
  <r>
    <n v="3751"/>
    <x v="32"/>
    <x v="1"/>
    <x v="15"/>
    <x v="0"/>
    <n v="88"/>
    <s v="Arizona"/>
    <x v="2"/>
    <x v="9"/>
    <x v="3"/>
    <x v="0"/>
    <x v="1"/>
    <x v="1"/>
    <x v="1"/>
    <x v="1"/>
    <n v="5"/>
    <x v="3"/>
    <x v="5"/>
  </r>
  <r>
    <n v="3752"/>
    <x v="24"/>
    <x v="1"/>
    <x v="16"/>
    <x v="3"/>
    <n v="97"/>
    <s v="Alabama"/>
    <x v="1"/>
    <x v="5"/>
    <x v="3"/>
    <x v="19"/>
    <x v="1"/>
    <x v="1"/>
    <x v="1"/>
    <x v="1"/>
    <n v="8"/>
    <x v="2"/>
    <x v="6"/>
  </r>
  <r>
    <n v="3753"/>
    <x v="41"/>
    <x v="1"/>
    <x v="7"/>
    <x v="2"/>
    <n v="81"/>
    <s v="Washington"/>
    <x v="0"/>
    <x v="6"/>
    <x v="0"/>
    <x v="7"/>
    <x v="1"/>
    <x v="4"/>
    <x v="1"/>
    <x v="1"/>
    <n v="43"/>
    <x v="0"/>
    <x v="1"/>
  </r>
  <r>
    <n v="3754"/>
    <x v="31"/>
    <x v="1"/>
    <x v="12"/>
    <x v="3"/>
    <n v="26"/>
    <s v="Louisiana"/>
    <x v="1"/>
    <x v="2"/>
    <x v="0"/>
    <x v="19"/>
    <x v="1"/>
    <x v="2"/>
    <x v="1"/>
    <x v="1"/>
    <n v="22"/>
    <x v="4"/>
    <x v="0"/>
  </r>
  <r>
    <n v="3755"/>
    <x v="5"/>
    <x v="1"/>
    <x v="9"/>
    <x v="1"/>
    <n v="41"/>
    <s v="Nebraska"/>
    <x v="2"/>
    <x v="2"/>
    <x v="2"/>
    <x v="14"/>
    <x v="1"/>
    <x v="0"/>
    <x v="1"/>
    <x v="1"/>
    <n v="10"/>
    <x v="1"/>
    <x v="6"/>
  </r>
  <r>
    <n v="3756"/>
    <x v="14"/>
    <x v="1"/>
    <x v="11"/>
    <x v="0"/>
    <n v="93"/>
    <s v="Pennsylvania"/>
    <x v="2"/>
    <x v="15"/>
    <x v="3"/>
    <x v="23"/>
    <x v="1"/>
    <x v="1"/>
    <x v="1"/>
    <x v="1"/>
    <n v="26"/>
    <x v="2"/>
    <x v="5"/>
  </r>
  <r>
    <n v="3757"/>
    <x v="14"/>
    <x v="1"/>
    <x v="11"/>
    <x v="0"/>
    <n v="69"/>
    <s v="South Carolina"/>
    <x v="0"/>
    <x v="11"/>
    <x v="1"/>
    <x v="6"/>
    <x v="1"/>
    <x v="0"/>
    <x v="1"/>
    <x v="1"/>
    <n v="42"/>
    <x v="5"/>
    <x v="4"/>
  </r>
  <r>
    <n v="3758"/>
    <x v="12"/>
    <x v="1"/>
    <x v="11"/>
    <x v="0"/>
    <n v="44"/>
    <s v="California"/>
    <x v="0"/>
    <x v="16"/>
    <x v="3"/>
    <x v="9"/>
    <x v="1"/>
    <x v="4"/>
    <x v="1"/>
    <x v="1"/>
    <n v="33"/>
    <x v="1"/>
    <x v="1"/>
  </r>
  <r>
    <n v="3759"/>
    <x v="12"/>
    <x v="1"/>
    <x v="3"/>
    <x v="1"/>
    <n v="54"/>
    <s v="Indiana"/>
    <x v="1"/>
    <x v="13"/>
    <x v="1"/>
    <x v="2"/>
    <x v="1"/>
    <x v="5"/>
    <x v="1"/>
    <x v="1"/>
    <n v="23"/>
    <x v="4"/>
    <x v="3"/>
  </r>
  <r>
    <n v="3760"/>
    <x v="42"/>
    <x v="1"/>
    <x v="4"/>
    <x v="1"/>
    <n v="61"/>
    <s v="Missouri"/>
    <x v="2"/>
    <x v="6"/>
    <x v="1"/>
    <x v="1"/>
    <x v="1"/>
    <x v="5"/>
    <x v="1"/>
    <x v="1"/>
    <n v="30"/>
    <x v="0"/>
    <x v="3"/>
  </r>
  <r>
    <n v="3761"/>
    <x v="13"/>
    <x v="1"/>
    <x v="20"/>
    <x v="0"/>
    <n v="80"/>
    <s v="Connecticut"/>
    <x v="2"/>
    <x v="15"/>
    <x v="3"/>
    <x v="0"/>
    <x v="1"/>
    <x v="2"/>
    <x v="1"/>
    <x v="1"/>
    <n v="36"/>
    <x v="3"/>
    <x v="1"/>
  </r>
  <r>
    <n v="3762"/>
    <x v="52"/>
    <x v="1"/>
    <x v="21"/>
    <x v="3"/>
    <n v="30"/>
    <s v="Nevada"/>
    <x v="2"/>
    <x v="14"/>
    <x v="2"/>
    <x v="11"/>
    <x v="1"/>
    <x v="2"/>
    <x v="1"/>
    <x v="1"/>
    <n v="3"/>
    <x v="0"/>
    <x v="6"/>
  </r>
  <r>
    <n v="3763"/>
    <x v="13"/>
    <x v="1"/>
    <x v="6"/>
    <x v="0"/>
    <n v="94"/>
    <s v="New York"/>
    <x v="0"/>
    <x v="14"/>
    <x v="3"/>
    <x v="3"/>
    <x v="1"/>
    <x v="5"/>
    <x v="1"/>
    <x v="1"/>
    <n v="13"/>
    <x v="3"/>
    <x v="2"/>
  </r>
  <r>
    <n v="3764"/>
    <x v="7"/>
    <x v="1"/>
    <x v="5"/>
    <x v="0"/>
    <n v="24"/>
    <s v="Oklahoma"/>
    <x v="3"/>
    <x v="16"/>
    <x v="0"/>
    <x v="9"/>
    <x v="1"/>
    <x v="3"/>
    <x v="1"/>
    <x v="1"/>
    <n v="38"/>
    <x v="1"/>
    <x v="6"/>
  </r>
  <r>
    <n v="3765"/>
    <x v="24"/>
    <x v="1"/>
    <x v="20"/>
    <x v="0"/>
    <n v="21"/>
    <s v="South Dakota"/>
    <x v="2"/>
    <x v="1"/>
    <x v="3"/>
    <x v="1"/>
    <x v="1"/>
    <x v="2"/>
    <x v="1"/>
    <x v="1"/>
    <n v="19"/>
    <x v="0"/>
    <x v="5"/>
  </r>
  <r>
    <n v="3766"/>
    <x v="40"/>
    <x v="1"/>
    <x v="16"/>
    <x v="3"/>
    <n v="52"/>
    <s v="Missouri"/>
    <x v="2"/>
    <x v="14"/>
    <x v="2"/>
    <x v="24"/>
    <x v="1"/>
    <x v="3"/>
    <x v="1"/>
    <x v="1"/>
    <n v="14"/>
    <x v="4"/>
    <x v="4"/>
  </r>
  <r>
    <n v="3767"/>
    <x v="46"/>
    <x v="1"/>
    <x v="8"/>
    <x v="3"/>
    <n v="59"/>
    <s v="Texas"/>
    <x v="2"/>
    <x v="13"/>
    <x v="3"/>
    <x v="8"/>
    <x v="1"/>
    <x v="2"/>
    <x v="1"/>
    <x v="1"/>
    <n v="43"/>
    <x v="5"/>
    <x v="2"/>
  </r>
  <r>
    <n v="3768"/>
    <x v="35"/>
    <x v="1"/>
    <x v="6"/>
    <x v="0"/>
    <n v="51"/>
    <s v="New York"/>
    <x v="3"/>
    <x v="13"/>
    <x v="2"/>
    <x v="0"/>
    <x v="1"/>
    <x v="1"/>
    <x v="1"/>
    <x v="1"/>
    <n v="10"/>
    <x v="4"/>
    <x v="0"/>
  </r>
  <r>
    <n v="3769"/>
    <x v="2"/>
    <x v="1"/>
    <x v="1"/>
    <x v="0"/>
    <n v="35"/>
    <s v="Vermont"/>
    <x v="2"/>
    <x v="22"/>
    <x v="0"/>
    <x v="17"/>
    <x v="1"/>
    <x v="1"/>
    <x v="1"/>
    <x v="1"/>
    <n v="34"/>
    <x v="4"/>
    <x v="3"/>
  </r>
  <r>
    <n v="3770"/>
    <x v="47"/>
    <x v="1"/>
    <x v="24"/>
    <x v="3"/>
    <n v="87"/>
    <s v="Arizona"/>
    <x v="0"/>
    <x v="14"/>
    <x v="2"/>
    <x v="15"/>
    <x v="1"/>
    <x v="3"/>
    <x v="1"/>
    <x v="1"/>
    <n v="31"/>
    <x v="0"/>
    <x v="2"/>
  </r>
  <r>
    <n v="3771"/>
    <x v="51"/>
    <x v="1"/>
    <x v="13"/>
    <x v="0"/>
    <n v="42"/>
    <s v="Montana"/>
    <x v="0"/>
    <x v="13"/>
    <x v="2"/>
    <x v="17"/>
    <x v="1"/>
    <x v="5"/>
    <x v="1"/>
    <x v="1"/>
    <n v="34"/>
    <x v="4"/>
    <x v="1"/>
  </r>
  <r>
    <n v="3772"/>
    <x v="3"/>
    <x v="1"/>
    <x v="17"/>
    <x v="0"/>
    <n v="86"/>
    <s v="Oklahoma"/>
    <x v="2"/>
    <x v="16"/>
    <x v="0"/>
    <x v="5"/>
    <x v="1"/>
    <x v="0"/>
    <x v="1"/>
    <x v="1"/>
    <n v="28"/>
    <x v="0"/>
    <x v="4"/>
  </r>
  <r>
    <n v="3773"/>
    <x v="42"/>
    <x v="1"/>
    <x v="13"/>
    <x v="0"/>
    <n v="26"/>
    <s v="New Hampshire"/>
    <x v="0"/>
    <x v="22"/>
    <x v="3"/>
    <x v="0"/>
    <x v="1"/>
    <x v="2"/>
    <x v="1"/>
    <x v="1"/>
    <n v="35"/>
    <x v="1"/>
    <x v="2"/>
  </r>
  <r>
    <n v="3774"/>
    <x v="15"/>
    <x v="1"/>
    <x v="1"/>
    <x v="0"/>
    <n v="60"/>
    <s v="Wisconsin"/>
    <x v="2"/>
    <x v="10"/>
    <x v="2"/>
    <x v="1"/>
    <x v="1"/>
    <x v="5"/>
    <x v="1"/>
    <x v="1"/>
    <n v="41"/>
    <x v="1"/>
    <x v="3"/>
  </r>
  <r>
    <n v="3775"/>
    <x v="9"/>
    <x v="1"/>
    <x v="24"/>
    <x v="3"/>
    <n v="83"/>
    <s v="Alaska"/>
    <x v="1"/>
    <x v="17"/>
    <x v="0"/>
    <x v="20"/>
    <x v="1"/>
    <x v="3"/>
    <x v="1"/>
    <x v="1"/>
    <n v="48"/>
    <x v="3"/>
    <x v="0"/>
  </r>
  <r>
    <n v="3776"/>
    <x v="38"/>
    <x v="1"/>
    <x v="22"/>
    <x v="3"/>
    <n v="63"/>
    <s v="South Dakota"/>
    <x v="1"/>
    <x v="6"/>
    <x v="1"/>
    <x v="2"/>
    <x v="1"/>
    <x v="4"/>
    <x v="1"/>
    <x v="1"/>
    <n v="45"/>
    <x v="1"/>
    <x v="3"/>
  </r>
  <r>
    <n v="3777"/>
    <x v="1"/>
    <x v="1"/>
    <x v="4"/>
    <x v="1"/>
    <n v="25"/>
    <s v="Alaska"/>
    <x v="0"/>
    <x v="8"/>
    <x v="1"/>
    <x v="7"/>
    <x v="1"/>
    <x v="3"/>
    <x v="1"/>
    <x v="1"/>
    <n v="10"/>
    <x v="2"/>
    <x v="0"/>
  </r>
  <r>
    <n v="3778"/>
    <x v="49"/>
    <x v="1"/>
    <x v="6"/>
    <x v="0"/>
    <n v="65"/>
    <s v="Utah"/>
    <x v="2"/>
    <x v="1"/>
    <x v="3"/>
    <x v="24"/>
    <x v="1"/>
    <x v="0"/>
    <x v="1"/>
    <x v="1"/>
    <n v="9"/>
    <x v="1"/>
    <x v="1"/>
  </r>
  <r>
    <n v="3779"/>
    <x v="15"/>
    <x v="1"/>
    <x v="4"/>
    <x v="1"/>
    <n v="60"/>
    <s v="South Dakota"/>
    <x v="2"/>
    <x v="17"/>
    <x v="3"/>
    <x v="3"/>
    <x v="1"/>
    <x v="1"/>
    <x v="1"/>
    <x v="1"/>
    <n v="30"/>
    <x v="5"/>
    <x v="2"/>
  </r>
  <r>
    <n v="3780"/>
    <x v="52"/>
    <x v="1"/>
    <x v="2"/>
    <x v="0"/>
    <n v="75"/>
    <s v="California"/>
    <x v="3"/>
    <x v="12"/>
    <x v="1"/>
    <x v="17"/>
    <x v="1"/>
    <x v="0"/>
    <x v="1"/>
    <x v="1"/>
    <n v="45"/>
    <x v="3"/>
    <x v="2"/>
  </r>
  <r>
    <n v="3781"/>
    <x v="22"/>
    <x v="1"/>
    <x v="4"/>
    <x v="1"/>
    <n v="57"/>
    <s v="Mississippi"/>
    <x v="0"/>
    <x v="22"/>
    <x v="3"/>
    <x v="7"/>
    <x v="1"/>
    <x v="1"/>
    <x v="1"/>
    <x v="1"/>
    <n v="41"/>
    <x v="0"/>
    <x v="3"/>
  </r>
  <r>
    <n v="3782"/>
    <x v="16"/>
    <x v="1"/>
    <x v="23"/>
    <x v="1"/>
    <n v="99"/>
    <s v="Tennessee"/>
    <x v="2"/>
    <x v="6"/>
    <x v="0"/>
    <x v="18"/>
    <x v="1"/>
    <x v="3"/>
    <x v="1"/>
    <x v="1"/>
    <n v="40"/>
    <x v="3"/>
    <x v="0"/>
  </r>
  <r>
    <n v="3783"/>
    <x v="37"/>
    <x v="1"/>
    <x v="14"/>
    <x v="2"/>
    <n v="45"/>
    <s v="Alabama"/>
    <x v="0"/>
    <x v="20"/>
    <x v="1"/>
    <x v="11"/>
    <x v="1"/>
    <x v="1"/>
    <x v="1"/>
    <x v="1"/>
    <n v="42"/>
    <x v="3"/>
    <x v="0"/>
  </r>
  <r>
    <n v="3784"/>
    <x v="31"/>
    <x v="1"/>
    <x v="24"/>
    <x v="3"/>
    <n v="66"/>
    <s v="Maine"/>
    <x v="3"/>
    <x v="20"/>
    <x v="2"/>
    <x v="4"/>
    <x v="1"/>
    <x v="1"/>
    <x v="1"/>
    <x v="1"/>
    <n v="17"/>
    <x v="5"/>
    <x v="0"/>
  </r>
  <r>
    <n v="3785"/>
    <x v="22"/>
    <x v="1"/>
    <x v="20"/>
    <x v="0"/>
    <n v="53"/>
    <s v="Virginia"/>
    <x v="2"/>
    <x v="10"/>
    <x v="0"/>
    <x v="9"/>
    <x v="1"/>
    <x v="2"/>
    <x v="1"/>
    <x v="1"/>
    <n v="4"/>
    <x v="0"/>
    <x v="2"/>
  </r>
  <r>
    <n v="3786"/>
    <x v="14"/>
    <x v="1"/>
    <x v="2"/>
    <x v="0"/>
    <n v="94"/>
    <s v="New Hampshire"/>
    <x v="0"/>
    <x v="12"/>
    <x v="0"/>
    <x v="22"/>
    <x v="1"/>
    <x v="3"/>
    <x v="1"/>
    <x v="1"/>
    <n v="6"/>
    <x v="1"/>
    <x v="5"/>
  </r>
  <r>
    <n v="3787"/>
    <x v="18"/>
    <x v="1"/>
    <x v="23"/>
    <x v="1"/>
    <n v="47"/>
    <s v="Tennessee"/>
    <x v="0"/>
    <x v="22"/>
    <x v="3"/>
    <x v="15"/>
    <x v="1"/>
    <x v="4"/>
    <x v="1"/>
    <x v="1"/>
    <n v="22"/>
    <x v="0"/>
    <x v="1"/>
  </r>
  <r>
    <n v="3788"/>
    <x v="43"/>
    <x v="1"/>
    <x v="0"/>
    <x v="0"/>
    <n v="80"/>
    <s v="New York"/>
    <x v="2"/>
    <x v="6"/>
    <x v="3"/>
    <x v="15"/>
    <x v="1"/>
    <x v="4"/>
    <x v="1"/>
    <x v="1"/>
    <n v="46"/>
    <x v="3"/>
    <x v="6"/>
  </r>
  <r>
    <n v="3789"/>
    <x v="49"/>
    <x v="1"/>
    <x v="19"/>
    <x v="3"/>
    <n v="65"/>
    <s v="Kansas"/>
    <x v="3"/>
    <x v="11"/>
    <x v="1"/>
    <x v="4"/>
    <x v="1"/>
    <x v="2"/>
    <x v="1"/>
    <x v="1"/>
    <n v="27"/>
    <x v="5"/>
    <x v="5"/>
  </r>
  <r>
    <n v="3790"/>
    <x v="19"/>
    <x v="1"/>
    <x v="5"/>
    <x v="0"/>
    <n v="75"/>
    <s v="North Dakota"/>
    <x v="2"/>
    <x v="23"/>
    <x v="2"/>
    <x v="22"/>
    <x v="1"/>
    <x v="0"/>
    <x v="1"/>
    <x v="1"/>
    <n v="18"/>
    <x v="4"/>
    <x v="6"/>
  </r>
  <r>
    <n v="3791"/>
    <x v="7"/>
    <x v="1"/>
    <x v="8"/>
    <x v="3"/>
    <n v="45"/>
    <s v="Alaska"/>
    <x v="3"/>
    <x v="19"/>
    <x v="2"/>
    <x v="14"/>
    <x v="1"/>
    <x v="3"/>
    <x v="1"/>
    <x v="1"/>
    <n v="31"/>
    <x v="2"/>
    <x v="1"/>
  </r>
  <r>
    <n v="3792"/>
    <x v="37"/>
    <x v="1"/>
    <x v="12"/>
    <x v="3"/>
    <n v="51"/>
    <s v="Texas"/>
    <x v="2"/>
    <x v="0"/>
    <x v="1"/>
    <x v="18"/>
    <x v="1"/>
    <x v="5"/>
    <x v="1"/>
    <x v="1"/>
    <n v="1"/>
    <x v="0"/>
    <x v="1"/>
  </r>
  <r>
    <n v="3793"/>
    <x v="49"/>
    <x v="1"/>
    <x v="18"/>
    <x v="3"/>
    <n v="58"/>
    <s v="Massachusetts"/>
    <x v="1"/>
    <x v="2"/>
    <x v="2"/>
    <x v="5"/>
    <x v="1"/>
    <x v="0"/>
    <x v="1"/>
    <x v="1"/>
    <n v="2"/>
    <x v="3"/>
    <x v="0"/>
  </r>
  <r>
    <n v="3794"/>
    <x v="46"/>
    <x v="1"/>
    <x v="12"/>
    <x v="3"/>
    <n v="20"/>
    <s v="Delaware"/>
    <x v="2"/>
    <x v="6"/>
    <x v="3"/>
    <x v="17"/>
    <x v="1"/>
    <x v="3"/>
    <x v="1"/>
    <x v="1"/>
    <n v="46"/>
    <x v="4"/>
    <x v="2"/>
  </r>
  <r>
    <n v="3795"/>
    <x v="42"/>
    <x v="1"/>
    <x v="18"/>
    <x v="3"/>
    <n v="82"/>
    <s v="South Dakota"/>
    <x v="2"/>
    <x v="10"/>
    <x v="2"/>
    <x v="15"/>
    <x v="1"/>
    <x v="4"/>
    <x v="1"/>
    <x v="1"/>
    <n v="27"/>
    <x v="0"/>
    <x v="1"/>
  </r>
  <r>
    <n v="3796"/>
    <x v="4"/>
    <x v="1"/>
    <x v="24"/>
    <x v="3"/>
    <n v="92"/>
    <s v="Arkansas"/>
    <x v="2"/>
    <x v="4"/>
    <x v="1"/>
    <x v="25"/>
    <x v="1"/>
    <x v="0"/>
    <x v="1"/>
    <x v="1"/>
    <n v="3"/>
    <x v="1"/>
    <x v="1"/>
  </r>
  <r>
    <n v="3797"/>
    <x v="37"/>
    <x v="1"/>
    <x v="6"/>
    <x v="0"/>
    <n v="81"/>
    <s v="Utah"/>
    <x v="2"/>
    <x v="12"/>
    <x v="3"/>
    <x v="4"/>
    <x v="1"/>
    <x v="1"/>
    <x v="1"/>
    <x v="1"/>
    <n v="47"/>
    <x v="4"/>
    <x v="3"/>
  </r>
  <r>
    <n v="3798"/>
    <x v="33"/>
    <x v="1"/>
    <x v="12"/>
    <x v="3"/>
    <n v="44"/>
    <s v="California"/>
    <x v="2"/>
    <x v="0"/>
    <x v="2"/>
    <x v="25"/>
    <x v="1"/>
    <x v="2"/>
    <x v="1"/>
    <x v="1"/>
    <n v="20"/>
    <x v="1"/>
    <x v="3"/>
  </r>
  <r>
    <n v="3799"/>
    <x v="6"/>
    <x v="1"/>
    <x v="16"/>
    <x v="3"/>
    <n v="72"/>
    <s v="Rhode Island"/>
    <x v="1"/>
    <x v="18"/>
    <x v="0"/>
    <x v="4"/>
    <x v="1"/>
    <x v="2"/>
    <x v="1"/>
    <x v="1"/>
    <n v="23"/>
    <x v="2"/>
    <x v="2"/>
  </r>
  <r>
    <n v="3800"/>
    <x v="52"/>
    <x v="1"/>
    <x v="14"/>
    <x v="2"/>
    <n v="26"/>
    <s v="Oklahoma"/>
    <x v="0"/>
    <x v="10"/>
    <x v="0"/>
    <x v="5"/>
    <x v="1"/>
    <x v="5"/>
    <x v="1"/>
    <x v="1"/>
    <n v="13"/>
    <x v="2"/>
    <x v="5"/>
  </r>
  <r>
    <n v="3801"/>
    <x v="1"/>
    <x v="1"/>
    <x v="1"/>
    <x v="0"/>
    <n v="26"/>
    <s v="Vermont"/>
    <x v="2"/>
    <x v="2"/>
    <x v="3"/>
    <x v="6"/>
    <x v="1"/>
    <x v="2"/>
    <x v="1"/>
    <x v="1"/>
    <n v="12"/>
    <x v="0"/>
    <x v="4"/>
  </r>
  <r>
    <n v="3802"/>
    <x v="8"/>
    <x v="1"/>
    <x v="0"/>
    <x v="0"/>
    <n v="84"/>
    <s v="Kentucky"/>
    <x v="2"/>
    <x v="15"/>
    <x v="1"/>
    <x v="16"/>
    <x v="1"/>
    <x v="5"/>
    <x v="1"/>
    <x v="1"/>
    <n v="36"/>
    <x v="3"/>
    <x v="0"/>
  </r>
  <r>
    <n v="3803"/>
    <x v="27"/>
    <x v="1"/>
    <x v="18"/>
    <x v="3"/>
    <n v="72"/>
    <s v="Illinois"/>
    <x v="1"/>
    <x v="2"/>
    <x v="1"/>
    <x v="4"/>
    <x v="1"/>
    <x v="4"/>
    <x v="1"/>
    <x v="1"/>
    <n v="1"/>
    <x v="4"/>
    <x v="5"/>
  </r>
  <r>
    <n v="3804"/>
    <x v="39"/>
    <x v="1"/>
    <x v="8"/>
    <x v="3"/>
    <n v="55"/>
    <s v="Connecticut"/>
    <x v="2"/>
    <x v="10"/>
    <x v="1"/>
    <x v="15"/>
    <x v="1"/>
    <x v="3"/>
    <x v="1"/>
    <x v="1"/>
    <n v="14"/>
    <x v="5"/>
    <x v="1"/>
  </r>
  <r>
    <n v="3805"/>
    <x v="43"/>
    <x v="1"/>
    <x v="19"/>
    <x v="3"/>
    <n v="77"/>
    <s v="Florida"/>
    <x v="2"/>
    <x v="8"/>
    <x v="3"/>
    <x v="2"/>
    <x v="1"/>
    <x v="4"/>
    <x v="1"/>
    <x v="1"/>
    <n v="45"/>
    <x v="1"/>
    <x v="2"/>
  </r>
  <r>
    <n v="3806"/>
    <x v="39"/>
    <x v="1"/>
    <x v="18"/>
    <x v="3"/>
    <n v="57"/>
    <s v="New Jersey"/>
    <x v="2"/>
    <x v="14"/>
    <x v="3"/>
    <x v="0"/>
    <x v="1"/>
    <x v="3"/>
    <x v="1"/>
    <x v="1"/>
    <n v="31"/>
    <x v="2"/>
    <x v="3"/>
  </r>
  <r>
    <n v="3807"/>
    <x v="20"/>
    <x v="1"/>
    <x v="23"/>
    <x v="1"/>
    <n v="71"/>
    <s v="Missouri"/>
    <x v="2"/>
    <x v="11"/>
    <x v="1"/>
    <x v="21"/>
    <x v="1"/>
    <x v="3"/>
    <x v="1"/>
    <x v="1"/>
    <n v="41"/>
    <x v="3"/>
    <x v="1"/>
  </r>
  <r>
    <n v="3808"/>
    <x v="21"/>
    <x v="1"/>
    <x v="0"/>
    <x v="0"/>
    <n v="39"/>
    <s v="Michigan"/>
    <x v="0"/>
    <x v="15"/>
    <x v="1"/>
    <x v="3"/>
    <x v="1"/>
    <x v="2"/>
    <x v="1"/>
    <x v="1"/>
    <n v="36"/>
    <x v="3"/>
    <x v="2"/>
  </r>
  <r>
    <n v="3809"/>
    <x v="23"/>
    <x v="1"/>
    <x v="20"/>
    <x v="0"/>
    <n v="28"/>
    <s v="Washington"/>
    <x v="2"/>
    <x v="6"/>
    <x v="0"/>
    <x v="10"/>
    <x v="1"/>
    <x v="0"/>
    <x v="1"/>
    <x v="1"/>
    <n v="6"/>
    <x v="5"/>
    <x v="4"/>
  </r>
  <r>
    <n v="3810"/>
    <x v="9"/>
    <x v="1"/>
    <x v="9"/>
    <x v="1"/>
    <n v="33"/>
    <s v="New York"/>
    <x v="1"/>
    <x v="1"/>
    <x v="0"/>
    <x v="18"/>
    <x v="1"/>
    <x v="3"/>
    <x v="1"/>
    <x v="1"/>
    <n v="28"/>
    <x v="2"/>
    <x v="2"/>
  </r>
  <r>
    <n v="3811"/>
    <x v="5"/>
    <x v="1"/>
    <x v="11"/>
    <x v="0"/>
    <n v="79"/>
    <s v="Wisconsin"/>
    <x v="0"/>
    <x v="15"/>
    <x v="3"/>
    <x v="20"/>
    <x v="1"/>
    <x v="1"/>
    <x v="1"/>
    <x v="1"/>
    <n v="29"/>
    <x v="0"/>
    <x v="5"/>
  </r>
  <r>
    <n v="3812"/>
    <x v="5"/>
    <x v="1"/>
    <x v="22"/>
    <x v="3"/>
    <n v="30"/>
    <s v="Idaho"/>
    <x v="2"/>
    <x v="1"/>
    <x v="0"/>
    <x v="17"/>
    <x v="1"/>
    <x v="3"/>
    <x v="1"/>
    <x v="1"/>
    <n v="14"/>
    <x v="1"/>
    <x v="5"/>
  </r>
  <r>
    <n v="3813"/>
    <x v="2"/>
    <x v="1"/>
    <x v="11"/>
    <x v="0"/>
    <n v="75"/>
    <s v="Michigan"/>
    <x v="2"/>
    <x v="6"/>
    <x v="1"/>
    <x v="11"/>
    <x v="1"/>
    <x v="2"/>
    <x v="1"/>
    <x v="1"/>
    <n v="7"/>
    <x v="4"/>
    <x v="6"/>
  </r>
  <r>
    <n v="3814"/>
    <x v="12"/>
    <x v="1"/>
    <x v="13"/>
    <x v="0"/>
    <n v="89"/>
    <s v="Georgia"/>
    <x v="2"/>
    <x v="20"/>
    <x v="2"/>
    <x v="7"/>
    <x v="1"/>
    <x v="0"/>
    <x v="1"/>
    <x v="1"/>
    <n v="31"/>
    <x v="0"/>
    <x v="4"/>
  </r>
  <r>
    <n v="3815"/>
    <x v="4"/>
    <x v="1"/>
    <x v="10"/>
    <x v="0"/>
    <n v="95"/>
    <s v="Michigan"/>
    <x v="2"/>
    <x v="20"/>
    <x v="0"/>
    <x v="19"/>
    <x v="1"/>
    <x v="1"/>
    <x v="1"/>
    <x v="1"/>
    <n v="26"/>
    <x v="4"/>
    <x v="6"/>
  </r>
  <r>
    <n v="3816"/>
    <x v="45"/>
    <x v="1"/>
    <x v="19"/>
    <x v="3"/>
    <n v="44"/>
    <s v="Maine"/>
    <x v="2"/>
    <x v="18"/>
    <x v="3"/>
    <x v="24"/>
    <x v="1"/>
    <x v="0"/>
    <x v="1"/>
    <x v="1"/>
    <n v="12"/>
    <x v="0"/>
    <x v="0"/>
  </r>
  <r>
    <n v="3817"/>
    <x v="26"/>
    <x v="1"/>
    <x v="7"/>
    <x v="2"/>
    <n v="86"/>
    <s v="Maryland"/>
    <x v="1"/>
    <x v="5"/>
    <x v="2"/>
    <x v="24"/>
    <x v="1"/>
    <x v="5"/>
    <x v="1"/>
    <x v="1"/>
    <n v="45"/>
    <x v="2"/>
    <x v="0"/>
  </r>
  <r>
    <n v="3818"/>
    <x v="17"/>
    <x v="1"/>
    <x v="18"/>
    <x v="3"/>
    <n v="91"/>
    <s v="Missouri"/>
    <x v="2"/>
    <x v="23"/>
    <x v="3"/>
    <x v="5"/>
    <x v="1"/>
    <x v="0"/>
    <x v="1"/>
    <x v="1"/>
    <n v="40"/>
    <x v="3"/>
    <x v="2"/>
  </r>
  <r>
    <n v="3819"/>
    <x v="27"/>
    <x v="1"/>
    <x v="4"/>
    <x v="1"/>
    <n v="41"/>
    <s v="Oregon"/>
    <x v="3"/>
    <x v="21"/>
    <x v="0"/>
    <x v="22"/>
    <x v="1"/>
    <x v="1"/>
    <x v="1"/>
    <x v="1"/>
    <n v="42"/>
    <x v="1"/>
    <x v="5"/>
  </r>
  <r>
    <n v="3820"/>
    <x v="24"/>
    <x v="1"/>
    <x v="13"/>
    <x v="0"/>
    <n v="99"/>
    <s v="Arkansas"/>
    <x v="1"/>
    <x v="9"/>
    <x v="1"/>
    <x v="3"/>
    <x v="1"/>
    <x v="0"/>
    <x v="1"/>
    <x v="1"/>
    <n v="45"/>
    <x v="1"/>
    <x v="3"/>
  </r>
  <r>
    <n v="3821"/>
    <x v="50"/>
    <x v="1"/>
    <x v="22"/>
    <x v="3"/>
    <n v="65"/>
    <s v="New Hampshire"/>
    <x v="2"/>
    <x v="7"/>
    <x v="0"/>
    <x v="16"/>
    <x v="1"/>
    <x v="3"/>
    <x v="1"/>
    <x v="1"/>
    <n v="34"/>
    <x v="5"/>
    <x v="3"/>
  </r>
  <r>
    <n v="3822"/>
    <x v="30"/>
    <x v="1"/>
    <x v="4"/>
    <x v="1"/>
    <n v="48"/>
    <s v="Oregon"/>
    <x v="2"/>
    <x v="9"/>
    <x v="2"/>
    <x v="12"/>
    <x v="1"/>
    <x v="1"/>
    <x v="1"/>
    <x v="1"/>
    <n v="34"/>
    <x v="2"/>
    <x v="6"/>
  </r>
  <r>
    <n v="3823"/>
    <x v="27"/>
    <x v="1"/>
    <x v="19"/>
    <x v="3"/>
    <n v="41"/>
    <s v="Kansas"/>
    <x v="1"/>
    <x v="9"/>
    <x v="1"/>
    <x v="4"/>
    <x v="1"/>
    <x v="1"/>
    <x v="1"/>
    <x v="1"/>
    <n v="17"/>
    <x v="3"/>
    <x v="6"/>
  </r>
  <r>
    <n v="3824"/>
    <x v="2"/>
    <x v="1"/>
    <x v="5"/>
    <x v="0"/>
    <n v="42"/>
    <s v="California"/>
    <x v="2"/>
    <x v="9"/>
    <x v="2"/>
    <x v="21"/>
    <x v="1"/>
    <x v="3"/>
    <x v="1"/>
    <x v="1"/>
    <n v="27"/>
    <x v="4"/>
    <x v="1"/>
  </r>
  <r>
    <n v="3825"/>
    <x v="22"/>
    <x v="1"/>
    <x v="6"/>
    <x v="0"/>
    <n v="26"/>
    <s v="Georgia"/>
    <x v="2"/>
    <x v="8"/>
    <x v="2"/>
    <x v="17"/>
    <x v="1"/>
    <x v="1"/>
    <x v="1"/>
    <x v="1"/>
    <n v="31"/>
    <x v="2"/>
    <x v="3"/>
  </r>
  <r>
    <n v="3826"/>
    <x v="34"/>
    <x v="1"/>
    <x v="6"/>
    <x v="0"/>
    <n v="35"/>
    <s v="Hawaii"/>
    <x v="0"/>
    <x v="14"/>
    <x v="3"/>
    <x v="7"/>
    <x v="1"/>
    <x v="0"/>
    <x v="1"/>
    <x v="1"/>
    <n v="47"/>
    <x v="5"/>
    <x v="0"/>
  </r>
  <r>
    <n v="3827"/>
    <x v="2"/>
    <x v="1"/>
    <x v="14"/>
    <x v="2"/>
    <n v="31"/>
    <s v="Montana"/>
    <x v="2"/>
    <x v="0"/>
    <x v="2"/>
    <x v="17"/>
    <x v="1"/>
    <x v="0"/>
    <x v="1"/>
    <x v="1"/>
    <n v="25"/>
    <x v="4"/>
    <x v="2"/>
  </r>
  <r>
    <n v="3828"/>
    <x v="46"/>
    <x v="1"/>
    <x v="16"/>
    <x v="3"/>
    <n v="73"/>
    <s v="Montana"/>
    <x v="2"/>
    <x v="16"/>
    <x v="2"/>
    <x v="7"/>
    <x v="1"/>
    <x v="3"/>
    <x v="1"/>
    <x v="1"/>
    <n v="47"/>
    <x v="1"/>
    <x v="0"/>
  </r>
  <r>
    <n v="3829"/>
    <x v="32"/>
    <x v="1"/>
    <x v="0"/>
    <x v="0"/>
    <n v="82"/>
    <s v="Mississippi"/>
    <x v="2"/>
    <x v="4"/>
    <x v="1"/>
    <x v="23"/>
    <x v="1"/>
    <x v="1"/>
    <x v="1"/>
    <x v="1"/>
    <n v="8"/>
    <x v="1"/>
    <x v="1"/>
  </r>
  <r>
    <n v="3830"/>
    <x v="28"/>
    <x v="1"/>
    <x v="13"/>
    <x v="0"/>
    <n v="32"/>
    <s v="Washington"/>
    <x v="2"/>
    <x v="21"/>
    <x v="1"/>
    <x v="3"/>
    <x v="1"/>
    <x v="1"/>
    <x v="1"/>
    <x v="1"/>
    <n v="32"/>
    <x v="5"/>
    <x v="0"/>
  </r>
  <r>
    <n v="3831"/>
    <x v="40"/>
    <x v="1"/>
    <x v="19"/>
    <x v="3"/>
    <n v="27"/>
    <s v="Pennsylvania"/>
    <x v="2"/>
    <x v="21"/>
    <x v="2"/>
    <x v="21"/>
    <x v="1"/>
    <x v="4"/>
    <x v="1"/>
    <x v="1"/>
    <n v="33"/>
    <x v="4"/>
    <x v="6"/>
  </r>
  <r>
    <n v="3832"/>
    <x v="24"/>
    <x v="1"/>
    <x v="21"/>
    <x v="3"/>
    <n v="86"/>
    <s v="Nevada"/>
    <x v="0"/>
    <x v="5"/>
    <x v="1"/>
    <x v="17"/>
    <x v="1"/>
    <x v="2"/>
    <x v="1"/>
    <x v="1"/>
    <n v="16"/>
    <x v="5"/>
    <x v="6"/>
  </r>
  <r>
    <n v="3833"/>
    <x v="14"/>
    <x v="1"/>
    <x v="23"/>
    <x v="1"/>
    <n v="38"/>
    <s v="Kansas"/>
    <x v="3"/>
    <x v="7"/>
    <x v="0"/>
    <x v="6"/>
    <x v="1"/>
    <x v="4"/>
    <x v="1"/>
    <x v="1"/>
    <n v="27"/>
    <x v="1"/>
    <x v="1"/>
  </r>
  <r>
    <n v="3834"/>
    <x v="42"/>
    <x v="1"/>
    <x v="14"/>
    <x v="2"/>
    <n v="93"/>
    <s v="Arizona"/>
    <x v="0"/>
    <x v="0"/>
    <x v="2"/>
    <x v="12"/>
    <x v="1"/>
    <x v="1"/>
    <x v="1"/>
    <x v="1"/>
    <n v="17"/>
    <x v="3"/>
    <x v="6"/>
  </r>
  <r>
    <n v="3835"/>
    <x v="49"/>
    <x v="1"/>
    <x v="15"/>
    <x v="0"/>
    <n v="59"/>
    <s v="Tennessee"/>
    <x v="2"/>
    <x v="23"/>
    <x v="0"/>
    <x v="7"/>
    <x v="1"/>
    <x v="4"/>
    <x v="1"/>
    <x v="1"/>
    <n v="17"/>
    <x v="1"/>
    <x v="3"/>
  </r>
  <r>
    <n v="3836"/>
    <x v="44"/>
    <x v="1"/>
    <x v="3"/>
    <x v="1"/>
    <n v="58"/>
    <s v="Pennsylvania"/>
    <x v="0"/>
    <x v="5"/>
    <x v="0"/>
    <x v="5"/>
    <x v="1"/>
    <x v="0"/>
    <x v="1"/>
    <x v="1"/>
    <n v="28"/>
    <x v="3"/>
    <x v="4"/>
  </r>
  <r>
    <n v="3837"/>
    <x v="46"/>
    <x v="1"/>
    <x v="11"/>
    <x v="0"/>
    <n v="84"/>
    <s v="Alaska"/>
    <x v="2"/>
    <x v="10"/>
    <x v="1"/>
    <x v="25"/>
    <x v="1"/>
    <x v="1"/>
    <x v="1"/>
    <x v="1"/>
    <n v="38"/>
    <x v="3"/>
    <x v="0"/>
  </r>
  <r>
    <n v="3838"/>
    <x v="4"/>
    <x v="1"/>
    <x v="15"/>
    <x v="0"/>
    <n v="100"/>
    <s v="New Mexico"/>
    <x v="2"/>
    <x v="14"/>
    <x v="1"/>
    <x v="6"/>
    <x v="1"/>
    <x v="1"/>
    <x v="1"/>
    <x v="1"/>
    <n v="33"/>
    <x v="4"/>
    <x v="0"/>
  </r>
  <r>
    <n v="3839"/>
    <x v="36"/>
    <x v="1"/>
    <x v="10"/>
    <x v="0"/>
    <n v="25"/>
    <s v="Rhode Island"/>
    <x v="0"/>
    <x v="14"/>
    <x v="2"/>
    <x v="19"/>
    <x v="1"/>
    <x v="0"/>
    <x v="1"/>
    <x v="1"/>
    <n v="24"/>
    <x v="0"/>
    <x v="6"/>
  </r>
  <r>
    <n v="3840"/>
    <x v="17"/>
    <x v="1"/>
    <x v="3"/>
    <x v="1"/>
    <n v="29"/>
    <s v="Connecticut"/>
    <x v="2"/>
    <x v="15"/>
    <x v="1"/>
    <x v="20"/>
    <x v="1"/>
    <x v="1"/>
    <x v="1"/>
    <x v="1"/>
    <n v="14"/>
    <x v="0"/>
    <x v="3"/>
  </r>
  <r>
    <n v="3841"/>
    <x v="11"/>
    <x v="1"/>
    <x v="2"/>
    <x v="0"/>
    <n v="42"/>
    <s v="Idaho"/>
    <x v="2"/>
    <x v="2"/>
    <x v="1"/>
    <x v="18"/>
    <x v="1"/>
    <x v="0"/>
    <x v="1"/>
    <x v="1"/>
    <n v="5"/>
    <x v="0"/>
    <x v="0"/>
  </r>
  <r>
    <n v="3842"/>
    <x v="33"/>
    <x v="1"/>
    <x v="2"/>
    <x v="0"/>
    <n v="57"/>
    <s v="Mississippi"/>
    <x v="0"/>
    <x v="6"/>
    <x v="3"/>
    <x v="19"/>
    <x v="1"/>
    <x v="4"/>
    <x v="1"/>
    <x v="1"/>
    <n v="8"/>
    <x v="4"/>
    <x v="5"/>
  </r>
  <r>
    <n v="3843"/>
    <x v="25"/>
    <x v="1"/>
    <x v="14"/>
    <x v="2"/>
    <n v="84"/>
    <s v="Colorado"/>
    <x v="0"/>
    <x v="12"/>
    <x v="0"/>
    <x v="19"/>
    <x v="1"/>
    <x v="2"/>
    <x v="1"/>
    <x v="1"/>
    <n v="42"/>
    <x v="5"/>
    <x v="5"/>
  </r>
  <r>
    <n v="3844"/>
    <x v="14"/>
    <x v="1"/>
    <x v="19"/>
    <x v="3"/>
    <n v="71"/>
    <s v="Georgia"/>
    <x v="0"/>
    <x v="5"/>
    <x v="0"/>
    <x v="17"/>
    <x v="1"/>
    <x v="1"/>
    <x v="1"/>
    <x v="1"/>
    <n v="48"/>
    <x v="0"/>
    <x v="6"/>
  </r>
  <r>
    <n v="3845"/>
    <x v="11"/>
    <x v="1"/>
    <x v="6"/>
    <x v="0"/>
    <n v="87"/>
    <s v="Montana"/>
    <x v="1"/>
    <x v="17"/>
    <x v="3"/>
    <x v="16"/>
    <x v="1"/>
    <x v="2"/>
    <x v="1"/>
    <x v="1"/>
    <n v="40"/>
    <x v="0"/>
    <x v="3"/>
  </r>
  <r>
    <n v="3846"/>
    <x v="44"/>
    <x v="1"/>
    <x v="1"/>
    <x v="0"/>
    <n v="52"/>
    <s v="California"/>
    <x v="2"/>
    <x v="14"/>
    <x v="0"/>
    <x v="8"/>
    <x v="1"/>
    <x v="3"/>
    <x v="1"/>
    <x v="1"/>
    <n v="46"/>
    <x v="0"/>
    <x v="2"/>
  </r>
  <r>
    <n v="3847"/>
    <x v="9"/>
    <x v="1"/>
    <x v="0"/>
    <x v="0"/>
    <n v="58"/>
    <s v="Pennsylvania"/>
    <x v="0"/>
    <x v="20"/>
    <x v="2"/>
    <x v="17"/>
    <x v="1"/>
    <x v="0"/>
    <x v="1"/>
    <x v="1"/>
    <n v="40"/>
    <x v="3"/>
    <x v="6"/>
  </r>
  <r>
    <n v="3848"/>
    <x v="52"/>
    <x v="1"/>
    <x v="1"/>
    <x v="0"/>
    <n v="34"/>
    <s v="Delaware"/>
    <x v="1"/>
    <x v="24"/>
    <x v="3"/>
    <x v="4"/>
    <x v="1"/>
    <x v="4"/>
    <x v="1"/>
    <x v="1"/>
    <n v="31"/>
    <x v="3"/>
    <x v="0"/>
  </r>
  <r>
    <n v="3849"/>
    <x v="40"/>
    <x v="1"/>
    <x v="16"/>
    <x v="3"/>
    <n v="60"/>
    <s v="New Hampshire"/>
    <x v="2"/>
    <x v="23"/>
    <x v="0"/>
    <x v="21"/>
    <x v="1"/>
    <x v="2"/>
    <x v="1"/>
    <x v="1"/>
    <n v="39"/>
    <x v="1"/>
    <x v="6"/>
  </r>
  <r>
    <n v="3850"/>
    <x v="5"/>
    <x v="1"/>
    <x v="15"/>
    <x v="0"/>
    <n v="68"/>
    <s v="Florida"/>
    <x v="1"/>
    <x v="17"/>
    <x v="0"/>
    <x v="5"/>
    <x v="1"/>
    <x v="0"/>
    <x v="1"/>
    <x v="1"/>
    <n v="36"/>
    <x v="3"/>
    <x v="0"/>
  </r>
  <r>
    <n v="3851"/>
    <x v="7"/>
    <x v="1"/>
    <x v="16"/>
    <x v="3"/>
    <n v="74"/>
    <s v="Mississippi"/>
    <x v="0"/>
    <x v="21"/>
    <x v="2"/>
    <x v="14"/>
    <x v="1"/>
    <x v="4"/>
    <x v="1"/>
    <x v="1"/>
    <n v="25"/>
    <x v="5"/>
    <x v="6"/>
  </r>
  <r>
    <n v="3852"/>
    <x v="2"/>
    <x v="1"/>
    <x v="18"/>
    <x v="3"/>
    <n v="83"/>
    <s v="Montana"/>
    <x v="2"/>
    <x v="6"/>
    <x v="2"/>
    <x v="20"/>
    <x v="1"/>
    <x v="1"/>
    <x v="1"/>
    <x v="1"/>
    <n v="24"/>
    <x v="5"/>
    <x v="2"/>
  </r>
  <r>
    <n v="3853"/>
    <x v="13"/>
    <x v="1"/>
    <x v="19"/>
    <x v="3"/>
    <n v="79"/>
    <s v="Mississippi"/>
    <x v="2"/>
    <x v="15"/>
    <x v="3"/>
    <x v="17"/>
    <x v="1"/>
    <x v="4"/>
    <x v="1"/>
    <x v="1"/>
    <n v="19"/>
    <x v="3"/>
    <x v="1"/>
  </r>
  <r>
    <n v="3854"/>
    <x v="12"/>
    <x v="1"/>
    <x v="12"/>
    <x v="3"/>
    <n v="76"/>
    <s v="Tennessee"/>
    <x v="2"/>
    <x v="12"/>
    <x v="3"/>
    <x v="17"/>
    <x v="1"/>
    <x v="5"/>
    <x v="1"/>
    <x v="1"/>
    <n v="49"/>
    <x v="5"/>
    <x v="4"/>
  </r>
  <r>
    <n v="3855"/>
    <x v="9"/>
    <x v="1"/>
    <x v="17"/>
    <x v="0"/>
    <n v="20"/>
    <s v="Florida"/>
    <x v="2"/>
    <x v="13"/>
    <x v="1"/>
    <x v="19"/>
    <x v="1"/>
    <x v="1"/>
    <x v="1"/>
    <x v="1"/>
    <n v="4"/>
    <x v="0"/>
    <x v="2"/>
  </r>
  <r>
    <n v="3856"/>
    <x v="37"/>
    <x v="1"/>
    <x v="5"/>
    <x v="0"/>
    <n v="61"/>
    <s v="Illinois"/>
    <x v="3"/>
    <x v="12"/>
    <x v="2"/>
    <x v="14"/>
    <x v="1"/>
    <x v="2"/>
    <x v="1"/>
    <x v="1"/>
    <n v="36"/>
    <x v="1"/>
    <x v="3"/>
  </r>
  <r>
    <n v="3857"/>
    <x v="31"/>
    <x v="1"/>
    <x v="3"/>
    <x v="1"/>
    <n v="78"/>
    <s v="Virginia"/>
    <x v="1"/>
    <x v="18"/>
    <x v="2"/>
    <x v="25"/>
    <x v="1"/>
    <x v="1"/>
    <x v="1"/>
    <x v="1"/>
    <n v="8"/>
    <x v="5"/>
    <x v="3"/>
  </r>
  <r>
    <n v="3858"/>
    <x v="32"/>
    <x v="1"/>
    <x v="19"/>
    <x v="3"/>
    <n v="21"/>
    <s v="Texas"/>
    <x v="1"/>
    <x v="22"/>
    <x v="2"/>
    <x v="0"/>
    <x v="1"/>
    <x v="5"/>
    <x v="1"/>
    <x v="1"/>
    <n v="29"/>
    <x v="2"/>
    <x v="6"/>
  </r>
  <r>
    <n v="3859"/>
    <x v="11"/>
    <x v="1"/>
    <x v="17"/>
    <x v="0"/>
    <n v="77"/>
    <s v="Missouri"/>
    <x v="2"/>
    <x v="8"/>
    <x v="0"/>
    <x v="1"/>
    <x v="1"/>
    <x v="5"/>
    <x v="1"/>
    <x v="1"/>
    <n v="26"/>
    <x v="2"/>
    <x v="3"/>
  </r>
  <r>
    <n v="3860"/>
    <x v="13"/>
    <x v="1"/>
    <x v="6"/>
    <x v="0"/>
    <n v="88"/>
    <s v="Mississippi"/>
    <x v="1"/>
    <x v="24"/>
    <x v="3"/>
    <x v="21"/>
    <x v="1"/>
    <x v="4"/>
    <x v="1"/>
    <x v="1"/>
    <n v="47"/>
    <x v="4"/>
    <x v="4"/>
  </r>
  <r>
    <n v="3861"/>
    <x v="9"/>
    <x v="1"/>
    <x v="12"/>
    <x v="3"/>
    <n v="64"/>
    <s v="Pennsylvania"/>
    <x v="2"/>
    <x v="2"/>
    <x v="2"/>
    <x v="14"/>
    <x v="1"/>
    <x v="2"/>
    <x v="1"/>
    <x v="1"/>
    <n v="44"/>
    <x v="1"/>
    <x v="2"/>
  </r>
  <r>
    <n v="3862"/>
    <x v="14"/>
    <x v="1"/>
    <x v="14"/>
    <x v="2"/>
    <n v="57"/>
    <s v="Wyoming"/>
    <x v="2"/>
    <x v="22"/>
    <x v="1"/>
    <x v="8"/>
    <x v="1"/>
    <x v="3"/>
    <x v="1"/>
    <x v="1"/>
    <n v="49"/>
    <x v="2"/>
    <x v="5"/>
  </r>
  <r>
    <n v="3863"/>
    <x v="19"/>
    <x v="1"/>
    <x v="5"/>
    <x v="0"/>
    <n v="49"/>
    <s v="Idaho"/>
    <x v="0"/>
    <x v="2"/>
    <x v="0"/>
    <x v="11"/>
    <x v="1"/>
    <x v="2"/>
    <x v="1"/>
    <x v="1"/>
    <n v="9"/>
    <x v="0"/>
    <x v="5"/>
  </r>
  <r>
    <n v="3864"/>
    <x v="37"/>
    <x v="1"/>
    <x v="18"/>
    <x v="3"/>
    <n v="35"/>
    <s v="New Hampshire"/>
    <x v="2"/>
    <x v="20"/>
    <x v="2"/>
    <x v="13"/>
    <x v="1"/>
    <x v="1"/>
    <x v="1"/>
    <x v="1"/>
    <n v="28"/>
    <x v="1"/>
    <x v="0"/>
  </r>
  <r>
    <n v="3865"/>
    <x v="0"/>
    <x v="1"/>
    <x v="17"/>
    <x v="0"/>
    <n v="99"/>
    <s v="Wyoming"/>
    <x v="1"/>
    <x v="24"/>
    <x v="0"/>
    <x v="8"/>
    <x v="1"/>
    <x v="0"/>
    <x v="1"/>
    <x v="1"/>
    <n v="1"/>
    <x v="5"/>
    <x v="0"/>
  </r>
  <r>
    <n v="3866"/>
    <x v="15"/>
    <x v="1"/>
    <x v="6"/>
    <x v="0"/>
    <n v="42"/>
    <s v="Nebraska"/>
    <x v="2"/>
    <x v="8"/>
    <x v="1"/>
    <x v="19"/>
    <x v="1"/>
    <x v="5"/>
    <x v="1"/>
    <x v="1"/>
    <n v="28"/>
    <x v="1"/>
    <x v="6"/>
  </r>
  <r>
    <n v="3867"/>
    <x v="44"/>
    <x v="1"/>
    <x v="19"/>
    <x v="3"/>
    <n v="32"/>
    <s v="Alaska"/>
    <x v="2"/>
    <x v="19"/>
    <x v="0"/>
    <x v="13"/>
    <x v="1"/>
    <x v="4"/>
    <x v="1"/>
    <x v="1"/>
    <n v="33"/>
    <x v="2"/>
    <x v="0"/>
  </r>
  <r>
    <n v="3868"/>
    <x v="5"/>
    <x v="1"/>
    <x v="14"/>
    <x v="2"/>
    <n v="21"/>
    <s v="Maryland"/>
    <x v="0"/>
    <x v="12"/>
    <x v="2"/>
    <x v="2"/>
    <x v="1"/>
    <x v="3"/>
    <x v="1"/>
    <x v="1"/>
    <n v="28"/>
    <x v="2"/>
    <x v="5"/>
  </r>
  <r>
    <n v="3869"/>
    <x v="20"/>
    <x v="1"/>
    <x v="10"/>
    <x v="0"/>
    <n v="29"/>
    <s v="Maryland"/>
    <x v="3"/>
    <x v="23"/>
    <x v="0"/>
    <x v="13"/>
    <x v="1"/>
    <x v="4"/>
    <x v="1"/>
    <x v="1"/>
    <n v="9"/>
    <x v="1"/>
    <x v="2"/>
  </r>
  <r>
    <n v="3870"/>
    <x v="8"/>
    <x v="1"/>
    <x v="7"/>
    <x v="2"/>
    <n v="64"/>
    <s v="Arizona"/>
    <x v="0"/>
    <x v="17"/>
    <x v="1"/>
    <x v="22"/>
    <x v="1"/>
    <x v="1"/>
    <x v="1"/>
    <x v="1"/>
    <n v="28"/>
    <x v="4"/>
    <x v="2"/>
  </r>
  <r>
    <n v="3871"/>
    <x v="12"/>
    <x v="1"/>
    <x v="3"/>
    <x v="1"/>
    <n v="46"/>
    <s v="Ohio"/>
    <x v="0"/>
    <x v="12"/>
    <x v="3"/>
    <x v="4"/>
    <x v="1"/>
    <x v="2"/>
    <x v="1"/>
    <x v="1"/>
    <n v="19"/>
    <x v="1"/>
    <x v="6"/>
  </r>
  <r>
    <n v="3872"/>
    <x v="0"/>
    <x v="1"/>
    <x v="17"/>
    <x v="0"/>
    <n v="97"/>
    <s v="Minnesota"/>
    <x v="2"/>
    <x v="13"/>
    <x v="3"/>
    <x v="7"/>
    <x v="1"/>
    <x v="4"/>
    <x v="1"/>
    <x v="1"/>
    <n v="20"/>
    <x v="4"/>
    <x v="6"/>
  </r>
  <r>
    <n v="3873"/>
    <x v="38"/>
    <x v="1"/>
    <x v="14"/>
    <x v="2"/>
    <n v="94"/>
    <s v="New Hampshire"/>
    <x v="2"/>
    <x v="14"/>
    <x v="1"/>
    <x v="24"/>
    <x v="1"/>
    <x v="3"/>
    <x v="1"/>
    <x v="1"/>
    <n v="3"/>
    <x v="1"/>
    <x v="5"/>
  </r>
  <r>
    <n v="3874"/>
    <x v="32"/>
    <x v="1"/>
    <x v="3"/>
    <x v="1"/>
    <n v="43"/>
    <s v="Louisiana"/>
    <x v="0"/>
    <x v="5"/>
    <x v="2"/>
    <x v="17"/>
    <x v="1"/>
    <x v="3"/>
    <x v="1"/>
    <x v="1"/>
    <n v="22"/>
    <x v="2"/>
    <x v="1"/>
  </r>
  <r>
    <n v="3875"/>
    <x v="27"/>
    <x v="1"/>
    <x v="1"/>
    <x v="0"/>
    <n v="54"/>
    <s v="Nevada"/>
    <x v="3"/>
    <x v="19"/>
    <x v="2"/>
    <x v="20"/>
    <x v="1"/>
    <x v="4"/>
    <x v="1"/>
    <x v="1"/>
    <n v="33"/>
    <x v="2"/>
    <x v="4"/>
  </r>
  <r>
    <n v="3876"/>
    <x v="6"/>
    <x v="1"/>
    <x v="19"/>
    <x v="3"/>
    <n v="51"/>
    <s v="New Hampshire"/>
    <x v="2"/>
    <x v="6"/>
    <x v="0"/>
    <x v="13"/>
    <x v="1"/>
    <x v="4"/>
    <x v="1"/>
    <x v="1"/>
    <n v="21"/>
    <x v="2"/>
    <x v="2"/>
  </r>
  <r>
    <n v="3877"/>
    <x v="52"/>
    <x v="1"/>
    <x v="9"/>
    <x v="1"/>
    <n v="85"/>
    <s v="Wisconsin"/>
    <x v="1"/>
    <x v="17"/>
    <x v="3"/>
    <x v="5"/>
    <x v="1"/>
    <x v="4"/>
    <x v="1"/>
    <x v="1"/>
    <n v="7"/>
    <x v="1"/>
    <x v="2"/>
  </r>
  <r>
    <n v="3878"/>
    <x v="48"/>
    <x v="1"/>
    <x v="15"/>
    <x v="0"/>
    <n v="96"/>
    <s v="Nevada"/>
    <x v="2"/>
    <x v="8"/>
    <x v="1"/>
    <x v="19"/>
    <x v="1"/>
    <x v="2"/>
    <x v="1"/>
    <x v="1"/>
    <n v="46"/>
    <x v="5"/>
    <x v="5"/>
  </r>
  <r>
    <n v="3879"/>
    <x v="52"/>
    <x v="1"/>
    <x v="19"/>
    <x v="3"/>
    <n v="42"/>
    <s v="South Carolina"/>
    <x v="2"/>
    <x v="6"/>
    <x v="2"/>
    <x v="23"/>
    <x v="1"/>
    <x v="4"/>
    <x v="1"/>
    <x v="1"/>
    <n v="24"/>
    <x v="2"/>
    <x v="2"/>
  </r>
  <r>
    <n v="3880"/>
    <x v="8"/>
    <x v="1"/>
    <x v="11"/>
    <x v="0"/>
    <n v="63"/>
    <s v="Florida"/>
    <x v="0"/>
    <x v="1"/>
    <x v="0"/>
    <x v="7"/>
    <x v="1"/>
    <x v="1"/>
    <x v="1"/>
    <x v="1"/>
    <n v="6"/>
    <x v="5"/>
    <x v="3"/>
  </r>
  <r>
    <n v="3881"/>
    <x v="32"/>
    <x v="1"/>
    <x v="5"/>
    <x v="0"/>
    <n v="20"/>
    <s v="Massachusetts"/>
    <x v="2"/>
    <x v="16"/>
    <x v="0"/>
    <x v="20"/>
    <x v="1"/>
    <x v="1"/>
    <x v="1"/>
    <x v="1"/>
    <n v="40"/>
    <x v="3"/>
    <x v="5"/>
  </r>
  <r>
    <n v="3882"/>
    <x v="19"/>
    <x v="1"/>
    <x v="18"/>
    <x v="3"/>
    <n v="25"/>
    <s v="Georgia"/>
    <x v="0"/>
    <x v="5"/>
    <x v="1"/>
    <x v="11"/>
    <x v="1"/>
    <x v="4"/>
    <x v="1"/>
    <x v="1"/>
    <n v="17"/>
    <x v="5"/>
    <x v="1"/>
  </r>
  <r>
    <n v="3883"/>
    <x v="25"/>
    <x v="1"/>
    <x v="13"/>
    <x v="0"/>
    <n v="95"/>
    <s v="North Dakota"/>
    <x v="0"/>
    <x v="24"/>
    <x v="3"/>
    <x v="5"/>
    <x v="1"/>
    <x v="1"/>
    <x v="1"/>
    <x v="1"/>
    <n v="24"/>
    <x v="1"/>
    <x v="0"/>
  </r>
  <r>
    <n v="3884"/>
    <x v="50"/>
    <x v="1"/>
    <x v="19"/>
    <x v="3"/>
    <n v="38"/>
    <s v="North Dakota"/>
    <x v="3"/>
    <x v="7"/>
    <x v="3"/>
    <x v="17"/>
    <x v="1"/>
    <x v="2"/>
    <x v="1"/>
    <x v="1"/>
    <n v="22"/>
    <x v="1"/>
    <x v="0"/>
  </r>
  <r>
    <n v="3885"/>
    <x v="36"/>
    <x v="1"/>
    <x v="3"/>
    <x v="1"/>
    <n v="29"/>
    <s v="Maryland"/>
    <x v="2"/>
    <x v="18"/>
    <x v="3"/>
    <x v="8"/>
    <x v="1"/>
    <x v="0"/>
    <x v="1"/>
    <x v="1"/>
    <n v="3"/>
    <x v="3"/>
    <x v="1"/>
  </r>
  <r>
    <n v="3886"/>
    <x v="34"/>
    <x v="1"/>
    <x v="20"/>
    <x v="0"/>
    <n v="64"/>
    <s v="New Mexico"/>
    <x v="0"/>
    <x v="7"/>
    <x v="0"/>
    <x v="4"/>
    <x v="1"/>
    <x v="1"/>
    <x v="1"/>
    <x v="1"/>
    <n v="39"/>
    <x v="1"/>
    <x v="3"/>
  </r>
  <r>
    <n v="3887"/>
    <x v="43"/>
    <x v="1"/>
    <x v="16"/>
    <x v="3"/>
    <n v="92"/>
    <s v="Iowa"/>
    <x v="1"/>
    <x v="18"/>
    <x v="2"/>
    <x v="20"/>
    <x v="1"/>
    <x v="0"/>
    <x v="1"/>
    <x v="1"/>
    <n v="40"/>
    <x v="5"/>
    <x v="3"/>
  </r>
  <r>
    <n v="3888"/>
    <x v="37"/>
    <x v="1"/>
    <x v="5"/>
    <x v="0"/>
    <n v="34"/>
    <s v="Kansas"/>
    <x v="2"/>
    <x v="4"/>
    <x v="1"/>
    <x v="2"/>
    <x v="1"/>
    <x v="0"/>
    <x v="1"/>
    <x v="1"/>
    <n v="1"/>
    <x v="2"/>
    <x v="3"/>
  </r>
  <r>
    <n v="3889"/>
    <x v="4"/>
    <x v="1"/>
    <x v="4"/>
    <x v="1"/>
    <n v="69"/>
    <s v="Virginia"/>
    <x v="2"/>
    <x v="10"/>
    <x v="1"/>
    <x v="23"/>
    <x v="1"/>
    <x v="3"/>
    <x v="1"/>
    <x v="1"/>
    <n v="14"/>
    <x v="0"/>
    <x v="4"/>
  </r>
  <r>
    <n v="3890"/>
    <x v="9"/>
    <x v="1"/>
    <x v="10"/>
    <x v="0"/>
    <n v="65"/>
    <s v="Alaska"/>
    <x v="1"/>
    <x v="22"/>
    <x v="1"/>
    <x v="1"/>
    <x v="1"/>
    <x v="0"/>
    <x v="1"/>
    <x v="1"/>
    <n v="49"/>
    <x v="4"/>
    <x v="2"/>
  </r>
  <r>
    <n v="3891"/>
    <x v="25"/>
    <x v="1"/>
    <x v="5"/>
    <x v="0"/>
    <n v="81"/>
    <s v="Nebraska"/>
    <x v="3"/>
    <x v="14"/>
    <x v="0"/>
    <x v="5"/>
    <x v="1"/>
    <x v="3"/>
    <x v="1"/>
    <x v="1"/>
    <n v="33"/>
    <x v="5"/>
    <x v="2"/>
  </r>
  <r>
    <n v="3892"/>
    <x v="24"/>
    <x v="1"/>
    <x v="10"/>
    <x v="0"/>
    <n v="30"/>
    <s v="Colorado"/>
    <x v="0"/>
    <x v="15"/>
    <x v="0"/>
    <x v="10"/>
    <x v="1"/>
    <x v="1"/>
    <x v="1"/>
    <x v="1"/>
    <n v="6"/>
    <x v="4"/>
    <x v="3"/>
  </r>
  <r>
    <n v="3893"/>
    <x v="25"/>
    <x v="1"/>
    <x v="16"/>
    <x v="3"/>
    <n v="86"/>
    <s v="Michigan"/>
    <x v="0"/>
    <x v="21"/>
    <x v="2"/>
    <x v="1"/>
    <x v="1"/>
    <x v="3"/>
    <x v="1"/>
    <x v="1"/>
    <n v="5"/>
    <x v="3"/>
    <x v="0"/>
  </r>
  <r>
    <n v="3894"/>
    <x v="3"/>
    <x v="1"/>
    <x v="19"/>
    <x v="3"/>
    <n v="64"/>
    <s v="Massachusetts"/>
    <x v="0"/>
    <x v="3"/>
    <x v="3"/>
    <x v="13"/>
    <x v="1"/>
    <x v="5"/>
    <x v="1"/>
    <x v="1"/>
    <n v="29"/>
    <x v="4"/>
    <x v="4"/>
  </r>
  <r>
    <n v="3895"/>
    <x v="17"/>
    <x v="1"/>
    <x v="11"/>
    <x v="0"/>
    <n v="78"/>
    <s v="Connecticut"/>
    <x v="0"/>
    <x v="3"/>
    <x v="1"/>
    <x v="20"/>
    <x v="1"/>
    <x v="4"/>
    <x v="1"/>
    <x v="1"/>
    <n v="44"/>
    <x v="2"/>
    <x v="6"/>
  </r>
  <r>
    <n v="3896"/>
    <x v="37"/>
    <x v="1"/>
    <x v="15"/>
    <x v="0"/>
    <n v="28"/>
    <s v="Virginia"/>
    <x v="0"/>
    <x v="2"/>
    <x v="2"/>
    <x v="19"/>
    <x v="1"/>
    <x v="4"/>
    <x v="1"/>
    <x v="1"/>
    <n v="32"/>
    <x v="0"/>
    <x v="1"/>
  </r>
  <r>
    <n v="3897"/>
    <x v="16"/>
    <x v="1"/>
    <x v="21"/>
    <x v="3"/>
    <n v="49"/>
    <s v="Iowa"/>
    <x v="0"/>
    <x v="3"/>
    <x v="1"/>
    <x v="9"/>
    <x v="1"/>
    <x v="5"/>
    <x v="1"/>
    <x v="1"/>
    <n v="41"/>
    <x v="4"/>
    <x v="4"/>
  </r>
  <r>
    <n v="3898"/>
    <x v="5"/>
    <x v="1"/>
    <x v="22"/>
    <x v="3"/>
    <n v="33"/>
    <s v="New Jersey"/>
    <x v="0"/>
    <x v="14"/>
    <x v="1"/>
    <x v="3"/>
    <x v="1"/>
    <x v="3"/>
    <x v="1"/>
    <x v="1"/>
    <n v="24"/>
    <x v="0"/>
    <x v="3"/>
  </r>
  <r>
    <n v="3899"/>
    <x v="42"/>
    <x v="1"/>
    <x v="9"/>
    <x v="1"/>
    <n v="77"/>
    <s v="Minnesota"/>
    <x v="1"/>
    <x v="18"/>
    <x v="2"/>
    <x v="22"/>
    <x v="1"/>
    <x v="0"/>
    <x v="1"/>
    <x v="1"/>
    <n v="24"/>
    <x v="0"/>
    <x v="1"/>
  </r>
  <r>
    <n v="3900"/>
    <x v="16"/>
    <x v="1"/>
    <x v="8"/>
    <x v="3"/>
    <n v="81"/>
    <s v="California"/>
    <x v="2"/>
    <x v="19"/>
    <x v="1"/>
    <x v="0"/>
    <x v="1"/>
    <x v="5"/>
    <x v="1"/>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F871EC-86EC-4B2D-8D63-9AF63C2F98F4}" name="Payment Method"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H23:I30"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axis="axisRow" showAll="0" sortType="a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7">
    <i>
      <x/>
    </i>
    <i>
      <x v="5"/>
    </i>
    <i>
      <x v="3"/>
    </i>
    <i>
      <x v="1"/>
    </i>
    <i>
      <x v="4"/>
    </i>
    <i>
      <x v="2"/>
    </i>
    <i t="grand">
      <x/>
    </i>
  </rowItems>
  <colItems count="1">
    <i/>
  </colItems>
  <dataFields count="1">
    <dataField name="Sum of Purchase Amount (USD)" fld="5"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7175D5-7A6F-4119-A2D0-69BF037FB61A}" name="Category Transiction"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fieldListSortAscending="1">
  <location ref="G7:H12" firstHeaderRow="1" firstDataRow="1" firstDataCol="1"/>
  <pivotFields count="18">
    <pivotField showAll="0"/>
    <pivotField showAll="0"/>
    <pivotField showAll="0">
      <items count="3">
        <item x="1"/>
        <item x="0"/>
        <item t="default"/>
      </items>
    </pivotField>
    <pivotField showAll="0"/>
    <pivotField axis="axisRow" dataField="1"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v="3"/>
    </i>
    <i>
      <x v="2"/>
    </i>
    <i>
      <x/>
    </i>
    <i>
      <x v="1"/>
    </i>
    <i t="grand">
      <x/>
    </i>
  </rowItems>
  <colItems count="1">
    <i/>
  </colItems>
  <dataFields count="1">
    <dataField name="Count of Categor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40861-1552-424A-865D-2BFED1D1A8C3}" name="Season Wise"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U23:V28" firstHeaderRow="1" firstDataRow="1" firstDataCol="1" rowPageCount="1" colPageCount="1"/>
  <pivotFields count="18">
    <pivotField showAll="0"/>
    <pivotField showAll="0" sortType="descending">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s>
  <rowFields count="1">
    <field x="9"/>
  </rowFields>
  <rowItems count="5">
    <i>
      <x v="2"/>
    </i>
    <i>
      <x v="3"/>
    </i>
    <i>
      <x v="1"/>
    </i>
    <i>
      <x/>
    </i>
    <i t="grand">
      <x/>
    </i>
  </rowItems>
  <colItems count="1">
    <i/>
  </colItems>
  <pageFields count="1">
    <pageField fld="2" hier="-1"/>
  </pageFields>
  <dataFields count="1">
    <dataField name="Sum of Purchase Amount (USD)" fld="5"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354850-13E3-4590-B721-DB922BB6D5BC}" name="Category Amount"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7:C12" firstHeaderRow="1" firstDataRow="1" firstDataCol="1"/>
  <pivotFields count="18">
    <pivotField showAll="0"/>
    <pivotField showAll="0"/>
    <pivotField showAll="0">
      <items count="3">
        <item x="1"/>
        <item x="0"/>
        <item t="default"/>
      </items>
    </pivotField>
    <pivotField showAll="0"/>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v="3"/>
    </i>
    <i>
      <x v="2"/>
    </i>
    <i>
      <x/>
    </i>
    <i>
      <x v="1"/>
    </i>
    <i t="grand">
      <x/>
    </i>
  </rowItems>
  <colItems count="1">
    <i/>
  </colItems>
  <dataFields count="1">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3043E7-5CC3-4C68-8C15-4B8914F0E819}" name="Age Group Sales"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Q23:R28" firstHeaderRow="1" firstDataRow="1" firstDataCol="1"/>
  <pivotFields count="18">
    <pivotField showAll="0"/>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s>
  <rowFields count="1">
    <field x="1"/>
  </rowFields>
  <rowItems count="5">
    <i>
      <x v="1"/>
    </i>
    <i>
      <x v="4"/>
    </i>
    <i>
      <x v="3"/>
    </i>
    <i>
      <x v="2"/>
    </i>
    <i t="grand">
      <x/>
    </i>
  </rowItems>
  <colItems count="1">
    <i/>
  </colItems>
  <dataFields count="1">
    <dataField name="Sum of Purchase Amount (USD)" fld="5" baseField="0" baseItem="0"/>
  </dataFields>
  <formats count="2">
    <format dxfId="35">
      <pivotArea outline="0" collapsedLevelsAreSubtotals="1" fieldPosition="0"/>
    </format>
    <format dxfId="34">
      <pivotArea collapsedLevelsAreSubtotals="1" fieldPosition="0">
        <references count="1">
          <reference field="1"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3FF62-9C92-4718-8661-4E8FAC027CF8}" name="Gender Wise"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N6:O9" firstHeaderRow="1" firstDataRow="1" firstDataCol="1"/>
  <pivotFields count="18">
    <pivotField showAll="0"/>
    <pivotField showAll="0"/>
    <pivotField axis="axisRow" showAll="0">
      <items count="3">
        <item x="1"/>
        <item x="0"/>
        <item t="default"/>
      </items>
    </pivotField>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3EB07-ED7B-4CB3-AA46-1C0135C7DC1C}" name="Size wise Sales"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W7:X12"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7"/>
  </rowFields>
  <rowItems count="5">
    <i>
      <x v="3"/>
    </i>
    <i>
      <x v="2"/>
    </i>
    <i>
      <x/>
    </i>
    <i>
      <x v="1"/>
    </i>
    <i t="grand">
      <x/>
    </i>
  </rowItems>
  <colItems count="1">
    <i/>
  </colItems>
  <dataFields count="1">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83D172-37A3-4651-952D-66F750057FA6}" name="Bottom Product"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E23:F29" firstHeaderRow="1" firstDataRow="1" firstDataCol="1"/>
  <pivotFields count="18">
    <pivotField showAll="0"/>
    <pivotField showAll="0"/>
    <pivotField showAll="0">
      <items count="3">
        <item x="1"/>
        <item x="0"/>
        <item t="default"/>
      </items>
    </pivotField>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3"/>
  </rowFields>
  <rowItems count="6">
    <i>
      <x v="11"/>
    </i>
    <i>
      <x v="6"/>
    </i>
    <i>
      <x v="20"/>
    </i>
    <i>
      <x/>
    </i>
    <i>
      <x v="9"/>
    </i>
    <i t="grand">
      <x/>
    </i>
  </rowItems>
  <colItems count="1">
    <i/>
  </colItems>
  <dataFields count="1">
    <dataField name="Sum of Purchase Amount (USD)" fld="5" baseField="0" baseItem="0" numFmtId="164"/>
  </dataFields>
  <formats count="1">
    <format dxfId="36">
      <pivotArea outline="0" collapsedLevelsAreSubtotals="1" fieldPosition="0"/>
    </format>
  </formats>
  <pivotTableStyleInfo name="PivotStyleLight16" showRowHeaders="1" showColHeaders="1" showRowStripes="0" showColStripes="0" showLastColumn="1"/>
  <filters count="1">
    <filter fld="3"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486719-B872-4C6F-9132-566E2E711C87}" name="Top Product"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23:C29" firstHeaderRow="1" firstDataRow="1" firstDataCol="1"/>
  <pivotFields count="18">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3"/>
  </rowFields>
  <rowItems count="6">
    <i>
      <x v="12"/>
    </i>
    <i>
      <x v="13"/>
    </i>
    <i>
      <x v="5"/>
    </i>
    <i>
      <x v="16"/>
    </i>
    <i>
      <x v="2"/>
    </i>
    <i t="grand">
      <x/>
    </i>
  </rowItems>
  <colItems count="1">
    <i/>
  </colItems>
  <dataFields count="1">
    <dataField name="Sum of Purchase Amount (USD)" fld="5" baseField="0" baseItem="0"/>
  </dataFields>
  <formats count="1">
    <format dxfId="37">
      <pivotArea collapsedLevelsAreSubtotals="1" fieldPosition="0">
        <references count="1">
          <reference field="3" count="5">
            <x v="2"/>
            <x v="5"/>
            <x v="12"/>
            <x v="13"/>
            <x v="16"/>
          </reference>
        </references>
      </pivotArea>
    </format>
  </formats>
  <pivotTableStyleInfo name="PivotStyleLight16" showRowHeaders="1" showColHeaders="1" showRowStripes="0" showColStripes="0" showLastColumn="1"/>
  <filters count="1">
    <filter fld="3"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8CF673-FF2E-41AA-A901-8B79BB545ACB}" name="KPI Table"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3:F4" firstHeaderRow="0" firstDataRow="1" firstDataCol="0"/>
  <pivotFields count="18">
    <pivotField dataField="1" showAll="0"/>
    <pivotField showAll="0"/>
    <pivotField showAll="0"/>
    <pivotField dataField="1"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dataField="1" showAll="0"/>
    <pivotField showAll="0"/>
    <pivotField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Sum of Purchase Amount (USD)" fld="5" baseField="0" baseItem="0" numFmtId="166"/>
    <dataField name="Count of Customer ID" fld="0" subtotal="count" baseField="0" baseItem="1" numFmtId="165"/>
    <dataField name="Count of Item Purchased" fld="3" subtotal="count" baseField="0" baseItem="0" numFmtId="165"/>
    <dataField name="Average of Review Rating" fld="10" subtotal="average" baseField="0" baseItem="1" numFmtId="2"/>
    <dataField name="Average of Previous Purchases" fld="15" subtotal="average" baseField="0" baseItem="0" numFmtId="1"/>
  </dataFields>
  <formats count="5">
    <format dxfId="42">
      <pivotArea outline="0" collapsedLevelsAreSubtotals="1" fieldPosition="0">
        <references count="1">
          <reference field="4294967294" count="1" selected="0">
            <x v="4"/>
          </reference>
        </references>
      </pivotArea>
    </format>
    <format dxfId="41">
      <pivotArea outline="0" collapsedLevelsAreSubtotals="1" fieldPosition="0">
        <references count="1">
          <reference field="4294967294" count="1" selected="0">
            <x v="3"/>
          </reference>
        </references>
      </pivotArea>
    </format>
    <format dxfId="40">
      <pivotArea outline="0" collapsedLevelsAreSubtotals="1" fieldPosition="0">
        <references count="1">
          <reference field="4294967294" count="1" selected="0">
            <x v="1"/>
          </reference>
        </references>
      </pivotArea>
    </format>
    <format dxfId="39">
      <pivotArea outline="0" collapsedLevelsAreSubtotals="1" fieldPosition="0">
        <references count="1">
          <reference field="4294967294" count="1" selected="0">
            <x v="2"/>
          </reference>
        </references>
      </pivotArea>
    </format>
    <format dxfId="3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F873EA-AE36-4F62-9EA0-E6176DB3DBB7}" sourceName="Category">
  <pivotTables>
    <pivotTable tabId="2" name="Age Group Sales"/>
    <pivotTable tabId="2" name="Bottom Product"/>
    <pivotTable tabId="2" name="Gender Wise"/>
    <pivotTable tabId="2" name="KPI Table"/>
    <pivotTable tabId="2" name="Payment Method"/>
    <pivotTable tabId="2" name="Season Wise"/>
    <pivotTable tabId="2" name="Size wise Sales"/>
    <pivotTable tabId="2" name="Top Product"/>
  </pivotTables>
  <data>
    <tabular pivotCacheId="136124908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0314EC-65BF-4E7D-8CC0-7C65570DCACC}" sourceName="Gender">
  <pivotTables>
    <pivotTable tabId="2" name="Age Group Sales"/>
    <pivotTable tabId="2" name="Bottom Product"/>
    <pivotTable tabId="2" name="Category Amount"/>
    <pivotTable tabId="2" name="Category Transiction"/>
  </pivotTables>
  <data>
    <tabular pivotCacheId="136124908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5A9F11D-FEA0-4B1B-97B2-8EC03D242548}" sourceName="Size">
  <pivotTables>
    <pivotTable tabId="2" name="Age Group Sales"/>
    <pivotTable tabId="2" name="Bottom Product"/>
    <pivotTable tabId="2" name="Category Amount"/>
    <pivotTable tabId="2" name="Category Transiction"/>
    <pivotTable tabId="2" name="Gender Wise"/>
    <pivotTable tabId="2" name="KPI Table"/>
    <pivotTable tabId="2" name="Payment Method"/>
    <pivotTable tabId="2" name="Season Wise"/>
  </pivotTables>
  <data>
    <tabular pivotCacheId="1361249087">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99D0A22-E135-4757-8388-F9788A93AA46}" sourceName="Season">
  <pivotTables>
    <pivotTable tabId="2" name="Season Wise"/>
    <pivotTable tabId="2" name="Category Amount"/>
    <pivotTable tabId="2" name="Category Transiction"/>
    <pivotTable tabId="2" name="Gender Wise"/>
    <pivotTable tabId="2" name="KPI Table"/>
    <pivotTable tabId="2" name="Payment Method"/>
    <pivotTable tabId="2" name="Size wise Sales"/>
    <pivotTable tabId="2" name="Top Product"/>
    <pivotTable tabId="2" name="Age Group Sales"/>
    <pivotTable tabId="2" name="Bottom Product"/>
  </pivotTables>
  <data>
    <tabular pivotCacheId="136124908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4C32D31-7238-4230-942B-A3CE38E3898F}" cache="Slicer_Category" caption="Category" columnCount="4" showCaption="0" style="SlicerStyleDark2 2 2" rowHeight="216000"/>
  <slicer name="Gender" xr10:uid="{081D4209-6BEE-40C0-B5FE-45022E914CFB}" cache="Slicer_Gender" caption="Gender" columnCount="2" showCaption="0" style="SlicerStyleDark2 2 2" rowHeight="180000"/>
  <slicer name="Size" xr10:uid="{22EC4562-0672-4170-B00F-5BAD051DCD0D}" cache="Slicer_Size" caption="Size" showCaption="0" style="SlicerStyleDark2 2 2" rowHeight="324000"/>
  <slicer name="Season" xr10:uid="{2C234940-9543-4214-B906-B8500551E095}" cache="Slicer_Season" caption="Season" showCaption="0" style="SlicerStyleDark2 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6BC8-D169-482C-8F5B-999E48C75F5E}">
  <dimension ref="B2:AA39"/>
  <sheetViews>
    <sheetView topLeftCell="C12" zoomScale="87" workbookViewId="0">
      <selection activeCell="M29" sqref="M29"/>
    </sheetView>
  </sheetViews>
  <sheetFormatPr defaultRowHeight="14.4" x14ac:dyDescent="0.3"/>
  <cols>
    <col min="2" max="3" width="27.109375" bestFit="1" customWidth="1"/>
    <col min="4" max="4" width="21.44140625" bestFit="1" customWidth="1"/>
    <col min="5" max="5" width="21.5546875" bestFit="1" customWidth="1"/>
    <col min="6" max="6" width="26.21875" bestFit="1" customWidth="1"/>
    <col min="7" max="7" width="27.109375" bestFit="1" customWidth="1"/>
    <col min="8" max="8" width="15.77734375" bestFit="1" customWidth="1"/>
    <col min="9" max="9" width="27.109375" bestFit="1" customWidth="1"/>
    <col min="10" max="10" width="12.77734375" bestFit="1" customWidth="1"/>
    <col min="11" max="11" width="11.21875" bestFit="1" customWidth="1"/>
    <col min="12" max="12" width="7.5546875" bestFit="1" customWidth="1"/>
    <col min="13" max="13" width="11.21875" bestFit="1" customWidth="1"/>
    <col min="14" max="14" width="12.77734375" bestFit="1" customWidth="1"/>
    <col min="15" max="15" width="27.6640625" bestFit="1" customWidth="1"/>
    <col min="16" max="16" width="7.109375" bestFit="1" customWidth="1"/>
    <col min="17" max="17" width="12.77734375" bestFit="1" customWidth="1"/>
    <col min="18" max="18" width="27.109375" bestFit="1" customWidth="1"/>
    <col min="19" max="19" width="12.77734375" bestFit="1" customWidth="1"/>
    <col min="20" max="20" width="6.44140625" bestFit="1" customWidth="1"/>
    <col min="21" max="21" width="12.77734375" bestFit="1" customWidth="1"/>
    <col min="22" max="22" width="27.6640625" bestFit="1" customWidth="1"/>
    <col min="23" max="23" width="12.77734375" bestFit="1" customWidth="1"/>
    <col min="24" max="24" width="27.6640625" bestFit="1" customWidth="1"/>
    <col min="25" max="25" width="7.109375" bestFit="1" customWidth="1"/>
    <col min="26" max="26" width="7" bestFit="1" customWidth="1"/>
    <col min="27" max="27" width="6" bestFit="1" customWidth="1"/>
    <col min="28" max="331" width="27.109375" bestFit="1" customWidth="1"/>
    <col min="332" max="332" width="31.6640625" bestFit="1" customWidth="1"/>
    <col min="333" max="333" width="23.109375" bestFit="1" customWidth="1"/>
    <col min="334" max="334" width="26" bestFit="1" customWidth="1"/>
    <col min="335" max="335" width="26.109375" bestFit="1" customWidth="1"/>
  </cols>
  <sheetData>
    <row r="2" spans="2:27" x14ac:dyDescent="0.3">
      <c r="B2" s="1" t="s">
        <v>1</v>
      </c>
      <c r="C2" t="s">
        <v>2</v>
      </c>
      <c r="D2" t="s">
        <v>5</v>
      </c>
    </row>
    <row r="3" spans="2:27" x14ac:dyDescent="0.3">
      <c r="B3" t="s">
        <v>0</v>
      </c>
      <c r="C3" t="s">
        <v>3</v>
      </c>
      <c r="D3" t="s">
        <v>4</v>
      </c>
      <c r="E3" t="s">
        <v>6</v>
      </c>
      <c r="F3" t="s">
        <v>8</v>
      </c>
      <c r="G3" s="4" t="s">
        <v>7</v>
      </c>
    </row>
    <row r="4" spans="2:27" x14ac:dyDescent="0.3">
      <c r="B4" s="7">
        <v>233081</v>
      </c>
      <c r="C4" s="6">
        <v>3900</v>
      </c>
      <c r="D4" s="6">
        <v>3900</v>
      </c>
      <c r="E4" s="2">
        <v>3.7499487179487119</v>
      </c>
      <c r="F4" s="3">
        <v>25.35153846153846</v>
      </c>
      <c r="G4" s="5">
        <f>B4/D4</f>
        <v>59.764358974358977</v>
      </c>
    </row>
    <row r="5" spans="2:27" x14ac:dyDescent="0.3">
      <c r="N5" s="21" t="s">
        <v>48</v>
      </c>
      <c r="O5" s="21"/>
      <c r="R5" s="14"/>
    </row>
    <row r="6" spans="2:27" x14ac:dyDescent="0.3">
      <c r="B6" s="21" t="s">
        <v>30</v>
      </c>
      <c r="C6" s="21"/>
      <c r="D6" s="14"/>
      <c r="E6" s="14"/>
      <c r="G6" s="12"/>
      <c r="H6" s="12"/>
      <c r="I6" s="15"/>
      <c r="J6" s="15"/>
      <c r="K6" s="15"/>
      <c r="L6" s="15" t="s">
        <v>50</v>
      </c>
      <c r="M6" s="15"/>
      <c r="N6" s="8" t="s">
        <v>9</v>
      </c>
      <c r="O6" t="s">
        <v>0</v>
      </c>
      <c r="W6" s="21" t="s">
        <v>49</v>
      </c>
      <c r="X6" s="21"/>
      <c r="Y6" s="16"/>
    </row>
    <row r="7" spans="2:27" x14ac:dyDescent="0.3">
      <c r="B7" s="8" t="s">
        <v>9</v>
      </c>
      <c r="C7" t="s">
        <v>0</v>
      </c>
      <c r="G7" s="8" t="s">
        <v>9</v>
      </c>
      <c r="H7" t="s">
        <v>15</v>
      </c>
      <c r="I7" t="s">
        <v>20</v>
      </c>
      <c r="N7" s="9" t="s">
        <v>16</v>
      </c>
      <c r="O7" s="22">
        <v>75191</v>
      </c>
      <c r="W7" s="8" t="s">
        <v>9</v>
      </c>
      <c r="X7" t="s">
        <v>0</v>
      </c>
      <c r="Y7" t="s">
        <v>23</v>
      </c>
    </row>
    <row r="8" spans="2:27" x14ac:dyDescent="0.3">
      <c r="B8" s="9" t="s">
        <v>13</v>
      </c>
      <c r="C8" s="22">
        <v>18524</v>
      </c>
      <c r="G8" s="9" t="s">
        <v>13</v>
      </c>
      <c r="H8" s="22">
        <v>324</v>
      </c>
      <c r="I8" s="5"/>
      <c r="J8" s="5"/>
      <c r="K8" s="5"/>
      <c r="L8" s="5"/>
      <c r="M8" s="5"/>
      <c r="N8" s="9" t="s">
        <v>17</v>
      </c>
      <c r="O8" s="22">
        <v>157890</v>
      </c>
      <c r="W8" s="9" t="s">
        <v>22</v>
      </c>
      <c r="X8" s="22">
        <v>25779</v>
      </c>
      <c r="Y8" s="11">
        <f>X8/SUM($X$8:$X$11)</f>
        <v>0.11060103569145491</v>
      </c>
    </row>
    <row r="9" spans="2:27" x14ac:dyDescent="0.3">
      <c r="B9" s="9" t="s">
        <v>12</v>
      </c>
      <c r="C9" s="22">
        <v>36093</v>
      </c>
      <c r="G9" s="9" t="s">
        <v>12</v>
      </c>
      <c r="H9" s="22">
        <v>599</v>
      </c>
      <c r="N9" s="9" t="s">
        <v>14</v>
      </c>
      <c r="O9" s="22">
        <v>233081</v>
      </c>
      <c r="W9" s="9" t="s">
        <v>21</v>
      </c>
      <c r="X9" s="22">
        <v>40468</v>
      </c>
      <c r="Y9" s="11">
        <f>X9/SUM($X$8:$X$11)</f>
        <v>0.17362204555497873</v>
      </c>
    </row>
    <row r="10" spans="2:27" x14ac:dyDescent="0.3">
      <c r="B10" s="9" t="s">
        <v>10</v>
      </c>
      <c r="C10" s="22">
        <v>74200</v>
      </c>
      <c r="G10" s="9" t="s">
        <v>10</v>
      </c>
      <c r="H10" s="22">
        <v>1240</v>
      </c>
      <c r="W10" s="9" t="s">
        <v>19</v>
      </c>
      <c r="X10" s="22">
        <v>61667</v>
      </c>
      <c r="Y10" s="11">
        <f>X10/SUM($X$8:$X$11)</f>
        <v>0.26457325993967762</v>
      </c>
    </row>
    <row r="11" spans="2:27" x14ac:dyDescent="0.3">
      <c r="B11" s="9" t="s">
        <v>11</v>
      </c>
      <c r="C11" s="22">
        <v>104264</v>
      </c>
      <c r="G11" s="9" t="s">
        <v>11</v>
      </c>
      <c r="H11" s="22">
        <v>1737</v>
      </c>
      <c r="W11" s="9" t="s">
        <v>20</v>
      </c>
      <c r="X11" s="22">
        <v>105167</v>
      </c>
      <c r="Y11" s="11">
        <f>X11/SUM($X$8:$X$11)</f>
        <v>0.45120365881388874</v>
      </c>
    </row>
    <row r="12" spans="2:27" x14ac:dyDescent="0.3">
      <c r="B12" s="9" t="s">
        <v>14</v>
      </c>
      <c r="C12" s="22">
        <v>233081</v>
      </c>
      <c r="G12" s="9" t="s">
        <v>14</v>
      </c>
      <c r="H12" s="22">
        <v>3900</v>
      </c>
      <c r="N12" t="str" cm="1">
        <f t="array" ref="N12:N14">N6:N8</f>
        <v>Row Labels</v>
      </c>
      <c r="O12" t="s">
        <v>18</v>
      </c>
      <c r="W12" s="9" t="s">
        <v>14</v>
      </c>
      <c r="X12" s="22">
        <v>233081</v>
      </c>
    </row>
    <row r="13" spans="2:27" x14ac:dyDescent="0.3">
      <c r="N13" t="str">
        <v>Female</v>
      </c>
      <c r="O13" s="11">
        <f>O7/SUM($O$7:$O$8)</f>
        <v>0.32259600739657029</v>
      </c>
      <c r="P13" s="11"/>
    </row>
    <row r="14" spans="2:27" x14ac:dyDescent="0.3">
      <c r="N14" t="str">
        <v>Male</v>
      </c>
      <c r="O14" s="11">
        <f>O8/SUM($O$7:$O$8)</f>
        <v>0.67740399260342976</v>
      </c>
      <c r="P14" s="11"/>
    </row>
    <row r="15" spans="2:27" x14ac:dyDescent="0.3">
      <c r="B15" t="str" cm="1">
        <f t="array" ref="B15:C19">B7:C11</f>
        <v>Row Labels</v>
      </c>
      <c r="C15" t="str">
        <v>Sum of Purchase Amount (USD)</v>
      </c>
      <c r="D15" t="s">
        <v>24</v>
      </c>
      <c r="E15" t="s">
        <v>25</v>
      </c>
      <c r="G15" t="str" cm="1">
        <f t="array" ref="G15:H19">G7:H11</f>
        <v>Row Labels</v>
      </c>
      <c r="H15" t="str">
        <v>Count of Category</v>
      </c>
      <c r="I15" t="s">
        <v>24</v>
      </c>
      <c r="J15" t="s">
        <v>25</v>
      </c>
      <c r="W15" s="11"/>
      <c r="X15" s="11"/>
      <c r="Y15" s="11"/>
      <c r="Z15" s="11"/>
    </row>
    <row r="16" spans="2:27" x14ac:dyDescent="0.3">
      <c r="B16" t="str">
        <v>Outerwear</v>
      </c>
      <c r="C16">
        <v>18524</v>
      </c>
      <c r="D16" t="str">
        <f>IF($C16&gt;=MAX($C$16:$C$19),$C16," ")</f>
        <v xml:space="preserve"> </v>
      </c>
      <c r="E16">
        <f>IF($C16&lt;=MIN($C$16:$C$19),$C16," ")</f>
        <v>18524</v>
      </c>
      <c r="G16" t="str">
        <v>Outerwear</v>
      </c>
      <c r="H16">
        <v>324</v>
      </c>
      <c r="I16" t="str">
        <f>IF($H16&gt;=MAX($H$16:$H$19),$H16," ")</f>
        <v xml:space="preserve"> </v>
      </c>
      <c r="W16" t="str" cm="1">
        <f t="array" ref="W16:Y20">W7:Y11</f>
        <v>Row Labels</v>
      </c>
      <c r="X16" s="11" t="str">
        <v>Sum of Purchase Amount (USD)</v>
      </c>
      <c r="Y16" t="str">
        <v>Size%</v>
      </c>
      <c r="Z16" t="s">
        <v>51</v>
      </c>
      <c r="AA16" t="s">
        <v>25</v>
      </c>
    </row>
    <row r="17" spans="2:27" x14ac:dyDescent="0.3">
      <c r="B17" t="str">
        <v>Footwear</v>
      </c>
      <c r="C17">
        <v>36093</v>
      </c>
      <c r="D17" t="str">
        <f t="shared" ref="D17:D19" si="0">IF($C17&gt;=MAX($C$16:$C$19),$C17," ")</f>
        <v xml:space="preserve"> </v>
      </c>
      <c r="E17" t="str">
        <f t="shared" ref="E17:E19" si="1">IF($C17&lt;=MIN($C$16:$C$19),$C17," ")</f>
        <v xml:space="preserve"> </v>
      </c>
      <c r="G17" t="str">
        <v>Footwear</v>
      </c>
      <c r="H17">
        <v>599</v>
      </c>
      <c r="I17" t="str">
        <f t="shared" ref="I17:I18" si="2">IF($H17&gt;=MAX($H$16:$H$19),$H17," ")</f>
        <v xml:space="preserve"> </v>
      </c>
      <c r="L17" t="str">
        <f t="shared" ref="L17:L19" si="3">IF($H17&lt;=MIN($H$16:$H$19),$H17," ")</f>
        <v xml:space="preserve"> </v>
      </c>
      <c r="W17" s="17" t="str">
        <v>XL</v>
      </c>
      <c r="X17" s="18">
        <v>25779</v>
      </c>
      <c r="Y17" s="11">
        <v>0.11060103569145491</v>
      </c>
      <c r="Z17" t="str">
        <f>IF($X8&gt;=MAX($X$8:$X$11),$X8," ")</f>
        <v xml:space="preserve"> </v>
      </c>
      <c r="AA17">
        <f>IF($X8&lt;=MIN($X$8:$X$11),$X8," ")</f>
        <v>25779</v>
      </c>
    </row>
    <row r="18" spans="2:27" x14ac:dyDescent="0.3">
      <c r="B18" t="str">
        <v>Accessories</v>
      </c>
      <c r="C18">
        <v>74200</v>
      </c>
      <c r="D18" t="str">
        <f t="shared" si="0"/>
        <v xml:space="preserve"> </v>
      </c>
      <c r="E18" t="str">
        <f t="shared" si="1"/>
        <v xml:space="preserve"> </v>
      </c>
      <c r="G18" t="str">
        <v>Accessories</v>
      </c>
      <c r="H18">
        <v>1240</v>
      </c>
      <c r="I18" t="str">
        <f t="shared" si="2"/>
        <v xml:space="preserve"> </v>
      </c>
      <c r="L18" t="str">
        <f t="shared" si="3"/>
        <v xml:space="preserve"> </v>
      </c>
      <c r="W18" t="str">
        <v>S</v>
      </c>
      <c r="X18" s="18">
        <v>40468</v>
      </c>
      <c r="Y18" s="11">
        <v>0.17362204555497873</v>
      </c>
      <c r="Z18" t="str">
        <f t="shared" ref="Z18:Z20" si="4">IF($X9&gt;=MAX($X$8:$X$11),$X9," ")</f>
        <v xml:space="preserve"> </v>
      </c>
      <c r="AA18" t="str">
        <f t="shared" ref="AA18:AA20" si="5">IF($X9&lt;=MIN($X$8:$X$11),$X9," ")</f>
        <v xml:space="preserve"> </v>
      </c>
    </row>
    <row r="19" spans="2:27" x14ac:dyDescent="0.3">
      <c r="B19" t="str">
        <v>Clothing</v>
      </c>
      <c r="C19">
        <v>104264</v>
      </c>
      <c r="D19">
        <f t="shared" si="0"/>
        <v>104264</v>
      </c>
      <c r="E19" t="str">
        <f t="shared" si="1"/>
        <v xml:space="preserve"> </v>
      </c>
      <c r="G19" t="str">
        <v>Clothing</v>
      </c>
      <c r="H19">
        <v>1737</v>
      </c>
      <c r="I19">
        <f>IF($H19&gt;=MAX($H$16:$H$19),$H19," ")</f>
        <v>1737</v>
      </c>
      <c r="J19">
        <f>IF($H16&lt;=MIN($H$16:$H$19),$H16," ")</f>
        <v>324</v>
      </c>
      <c r="L19" t="str">
        <f t="shared" si="3"/>
        <v xml:space="preserve"> </v>
      </c>
      <c r="W19" t="str">
        <v>L</v>
      </c>
      <c r="X19" s="18">
        <v>61667</v>
      </c>
      <c r="Y19" s="11">
        <v>0.26457325993967762</v>
      </c>
      <c r="Z19" t="str">
        <f t="shared" si="4"/>
        <v xml:space="preserve"> </v>
      </c>
      <c r="AA19" t="str">
        <f t="shared" si="5"/>
        <v xml:space="preserve"> </v>
      </c>
    </row>
    <row r="20" spans="2:27" x14ac:dyDescent="0.3">
      <c r="W20" t="str">
        <v>M</v>
      </c>
      <c r="X20" s="18">
        <v>105167</v>
      </c>
      <c r="Y20" s="11">
        <v>0.45120365881388874</v>
      </c>
      <c r="Z20">
        <f t="shared" si="4"/>
        <v>105167</v>
      </c>
      <c r="AA20" t="str">
        <f t="shared" si="5"/>
        <v xml:space="preserve"> </v>
      </c>
    </row>
    <row r="21" spans="2:27" x14ac:dyDescent="0.3">
      <c r="U21" s="8" t="s">
        <v>47</v>
      </c>
      <c r="V21" t="s">
        <v>40</v>
      </c>
    </row>
    <row r="22" spans="2:27" x14ac:dyDescent="0.3">
      <c r="B22" s="21" t="s">
        <v>29</v>
      </c>
      <c r="C22" s="21"/>
      <c r="E22" s="21" t="s">
        <v>31</v>
      </c>
      <c r="F22" s="21"/>
      <c r="H22" s="21" t="s">
        <v>38</v>
      </c>
      <c r="I22" s="21"/>
      <c r="J22" s="14"/>
      <c r="K22" s="14"/>
      <c r="L22" s="14"/>
      <c r="M22" s="14"/>
      <c r="N22" s="14"/>
      <c r="P22" s="16"/>
      <c r="Q22" s="20"/>
      <c r="R22" s="20" t="s">
        <v>39</v>
      </c>
      <c r="S22" s="16"/>
      <c r="T22" s="16" t="s">
        <v>45</v>
      </c>
      <c r="U22" s="20"/>
      <c r="V22" s="20" t="s">
        <v>45</v>
      </c>
      <c r="W22" s="16"/>
    </row>
    <row r="23" spans="2:27" x14ac:dyDescent="0.3">
      <c r="B23" s="8" t="s">
        <v>9</v>
      </c>
      <c r="C23" t="s">
        <v>0</v>
      </c>
      <c r="E23" s="8" t="s">
        <v>9</v>
      </c>
      <c r="F23" t="s">
        <v>0</v>
      </c>
      <c r="H23" s="8" t="s">
        <v>9</v>
      </c>
      <c r="I23" t="s">
        <v>0</v>
      </c>
      <c r="L23" t="s">
        <v>52</v>
      </c>
      <c r="M23" t="s">
        <v>24</v>
      </c>
      <c r="N23" t="s">
        <v>25</v>
      </c>
      <c r="Q23" s="8" t="s">
        <v>9</v>
      </c>
      <c r="R23" t="s">
        <v>0</v>
      </c>
      <c r="U23" s="8" t="s">
        <v>9</v>
      </c>
      <c r="V23" t="s">
        <v>0</v>
      </c>
    </row>
    <row r="24" spans="2:27" x14ac:dyDescent="0.3">
      <c r="B24" s="9" t="s">
        <v>28</v>
      </c>
      <c r="C24" s="6">
        <v>10010</v>
      </c>
      <c r="E24" s="9" t="s">
        <v>56</v>
      </c>
      <c r="F24" s="5">
        <v>7548</v>
      </c>
      <c r="H24" s="9" t="s">
        <v>32</v>
      </c>
      <c r="I24" s="5">
        <v>36544</v>
      </c>
      <c r="J24" s="5" t="str" cm="1">
        <f t="array" ref="J24:K29">H24:I29</f>
        <v>Bank Transfer</v>
      </c>
      <c r="K24" s="5">
        <v>36544</v>
      </c>
      <c r="L24" s="11">
        <f>I24/SUM($I$24:$I$29)</f>
        <v>0.15678669647032575</v>
      </c>
      <c r="M24" s="5" t="str">
        <f>IF($I24&gt;=MAX($I$24:$I$29),$I24," ")</f>
        <v xml:space="preserve"> </v>
      </c>
      <c r="N24" s="5">
        <f>IF($I24&lt;=MIN($I$24:$I$29),$I24," ")</f>
        <v>36544</v>
      </c>
      <c r="O24" s="5"/>
      <c r="Q24" s="9" t="s">
        <v>41</v>
      </c>
      <c r="R24" s="5">
        <v>4139</v>
      </c>
      <c r="U24" s="9" t="s">
        <v>54</v>
      </c>
      <c r="V24" s="5">
        <v>55777</v>
      </c>
    </row>
    <row r="25" spans="2:27" x14ac:dyDescent="0.3">
      <c r="B25" s="9" t="s">
        <v>59</v>
      </c>
      <c r="C25" s="6">
        <v>10090</v>
      </c>
      <c r="E25" s="9" t="s">
        <v>27</v>
      </c>
      <c r="F25" s="5">
        <v>8477</v>
      </c>
      <c r="H25" s="9" t="s">
        <v>37</v>
      </c>
      <c r="I25" s="5">
        <v>37374</v>
      </c>
      <c r="J25" s="5" t="str">
        <v>Venmo</v>
      </c>
      <c r="K25" s="5">
        <v>37374</v>
      </c>
      <c r="L25" s="11">
        <f t="shared" ref="L25:L29" si="6">I25/SUM($I$24:$I$29)</f>
        <v>0.16034769028792567</v>
      </c>
      <c r="M25" s="5" t="str">
        <f t="shared" ref="M25:M28" si="7">IF($I25&gt;=MAX($I$24:$I$29),$I25," ")</f>
        <v xml:space="preserve"> </v>
      </c>
      <c r="N25" s="5" t="str">
        <f t="shared" ref="N25:N29" si="8">IF($I25&lt;=MIN($I$24:$I$29),$I25," ")</f>
        <v xml:space="preserve"> </v>
      </c>
      <c r="O25" s="5"/>
      <c r="Q25" s="9" t="s">
        <v>44</v>
      </c>
      <c r="R25" s="5">
        <v>60963</v>
      </c>
      <c r="U25" s="9" t="s">
        <v>53</v>
      </c>
      <c r="V25" s="5">
        <v>58607</v>
      </c>
    </row>
    <row r="26" spans="2:27" x14ac:dyDescent="0.3">
      <c r="B26" s="9" t="s">
        <v>60</v>
      </c>
      <c r="C26" s="6">
        <v>10320</v>
      </c>
      <c r="D26" s="12">
        <v>2</v>
      </c>
      <c r="E26" s="9" t="s">
        <v>57</v>
      </c>
      <c r="F26" s="5">
        <v>8635</v>
      </c>
      <c r="H26" s="9" t="s">
        <v>35</v>
      </c>
      <c r="I26" s="5">
        <v>38742</v>
      </c>
      <c r="J26" s="5" t="str">
        <v>Debit Card</v>
      </c>
      <c r="K26" s="5">
        <v>38742</v>
      </c>
      <c r="L26" s="11">
        <f t="shared" si="6"/>
        <v>0.1662168945559698</v>
      </c>
      <c r="M26" s="5" t="str">
        <f t="shared" si="7"/>
        <v xml:space="preserve"> </v>
      </c>
      <c r="N26" s="5" t="str">
        <f t="shared" si="8"/>
        <v xml:space="preserve"> </v>
      </c>
      <c r="O26" s="5"/>
      <c r="Q26" s="9" t="s">
        <v>43</v>
      </c>
      <c r="R26" s="5">
        <v>83898</v>
      </c>
      <c r="U26" s="9" t="s">
        <v>46</v>
      </c>
      <c r="V26" s="5">
        <v>58679</v>
      </c>
    </row>
    <row r="27" spans="2:27" x14ac:dyDescent="0.3">
      <c r="B27" s="9" t="s">
        <v>61</v>
      </c>
      <c r="C27" s="6">
        <v>10332</v>
      </c>
      <c r="E27" s="9" t="s">
        <v>26</v>
      </c>
      <c r="F27" s="5">
        <v>8636</v>
      </c>
      <c r="H27" s="9" t="s">
        <v>33</v>
      </c>
      <c r="I27" s="5">
        <v>40002</v>
      </c>
      <c r="J27" s="5" t="str">
        <v>Cash</v>
      </c>
      <c r="K27" s="5">
        <v>40002</v>
      </c>
      <c r="L27" s="11">
        <f t="shared" si="6"/>
        <v>0.17162274059232627</v>
      </c>
      <c r="M27" s="5" t="str">
        <f t="shared" si="7"/>
        <v xml:space="preserve"> </v>
      </c>
      <c r="N27" s="5" t="str">
        <f t="shared" si="8"/>
        <v xml:space="preserve"> </v>
      </c>
      <c r="O27" s="5"/>
      <c r="Q27" s="9" t="s">
        <v>42</v>
      </c>
      <c r="R27" s="5">
        <v>84081</v>
      </c>
      <c r="U27" s="9" t="s">
        <v>55</v>
      </c>
      <c r="V27" s="5">
        <v>60018</v>
      </c>
    </row>
    <row r="28" spans="2:27" x14ac:dyDescent="0.3">
      <c r="B28" s="9" t="s">
        <v>62</v>
      </c>
      <c r="C28" s="6">
        <v>10410</v>
      </c>
      <c r="E28" s="9" t="s">
        <v>58</v>
      </c>
      <c r="F28" s="5">
        <v>8767</v>
      </c>
      <c r="H28" s="9" t="s">
        <v>36</v>
      </c>
      <c r="I28" s="5">
        <v>40109</v>
      </c>
      <c r="J28" s="5" t="str">
        <v>PayPal</v>
      </c>
      <c r="K28" s="5">
        <v>40109</v>
      </c>
      <c r="L28" s="11">
        <f t="shared" si="6"/>
        <v>0.17208180847001686</v>
      </c>
      <c r="M28" s="5" t="str">
        <f t="shared" si="7"/>
        <v xml:space="preserve"> </v>
      </c>
      <c r="N28" s="5" t="str">
        <f t="shared" si="8"/>
        <v xml:space="preserve"> </v>
      </c>
      <c r="O28" s="5"/>
      <c r="Q28" s="9" t="s">
        <v>14</v>
      </c>
      <c r="R28" s="5">
        <v>233081</v>
      </c>
      <c r="U28" s="9" t="s">
        <v>14</v>
      </c>
      <c r="V28" s="5">
        <v>233081</v>
      </c>
    </row>
    <row r="29" spans="2:27" x14ac:dyDescent="0.3">
      <c r="B29" s="9" t="s">
        <v>14</v>
      </c>
      <c r="C29" s="22">
        <v>51162</v>
      </c>
      <c r="E29" s="9" t="s">
        <v>14</v>
      </c>
      <c r="F29" s="5">
        <v>42063</v>
      </c>
      <c r="H29" s="9" t="s">
        <v>34</v>
      </c>
      <c r="I29" s="5">
        <v>40310</v>
      </c>
      <c r="J29" s="5" t="str">
        <v>Credit Card</v>
      </c>
      <c r="K29" s="5">
        <v>40310</v>
      </c>
      <c r="L29" s="11">
        <f t="shared" si="6"/>
        <v>0.17294416962343562</v>
      </c>
      <c r="M29" s="5">
        <f>IF($I29&gt;=MAX($I$24:$I$29),$I29," ")</f>
        <v>40310</v>
      </c>
      <c r="N29" s="5" t="str">
        <f t="shared" si="8"/>
        <v xml:space="preserve"> </v>
      </c>
      <c r="O29" s="5"/>
    </row>
    <row r="30" spans="2:27" x14ac:dyDescent="0.3">
      <c r="H30" s="9" t="s">
        <v>14</v>
      </c>
      <c r="I30" s="5">
        <v>233081</v>
      </c>
      <c r="J30" s="5"/>
      <c r="K30" s="5"/>
      <c r="L30" s="5"/>
      <c r="M30" s="5"/>
      <c r="N30" s="5"/>
      <c r="O30" s="5"/>
    </row>
    <row r="33" spans="2:20" x14ac:dyDescent="0.3">
      <c r="Q33" t="str" cm="1">
        <f t="array" ref="Q33:R37">Q23:R27</f>
        <v>Row Labels</v>
      </c>
      <c r="R33" s="5" t="str">
        <v>Sum of Purchase Amount (USD)</v>
      </c>
      <c r="S33" t="s">
        <v>51</v>
      </c>
      <c r="T33" t="s">
        <v>25</v>
      </c>
    </row>
    <row r="34" spans="2:20" x14ac:dyDescent="0.3">
      <c r="B34" t="str" cm="1">
        <f t="array" ref="B34:C39">IF($D$26=1,$B$23:$C$28,$E$23:$F$28)</f>
        <v>Row Labels</v>
      </c>
      <c r="C34" t="str">
        <v>Sum of Purchase Amount (USD)</v>
      </c>
      <c r="I34" s="17"/>
      <c r="J34" s="17"/>
      <c r="K34" s="19"/>
      <c r="Q34" t="str">
        <v>0-18</v>
      </c>
      <c r="R34" s="7">
        <v>4139</v>
      </c>
      <c r="S34" t="str">
        <f>IF($R24&gt;=MAX($R$24:$R$27),$R24," ")</f>
        <v xml:space="preserve"> </v>
      </c>
      <c r="T34">
        <f>IF($R24&lt;=MIN($R$24:$R$27),$R24," ")</f>
        <v>4139</v>
      </c>
    </row>
    <row r="35" spans="2:20" x14ac:dyDescent="0.3">
      <c r="B35" t="str">
        <v>Jeans</v>
      </c>
      <c r="C35" s="13">
        <v>7548</v>
      </c>
      <c r="I35" s="17"/>
      <c r="J35" s="17"/>
      <c r="Q35" t="str">
        <v>57-75</v>
      </c>
      <c r="R35" s="7">
        <v>60963</v>
      </c>
      <c r="S35" t="str">
        <f t="shared" ref="S35:S37" si="9">IF($R25&gt;=MAX($R$24:$R$27),$R25," ")</f>
        <v xml:space="preserve"> </v>
      </c>
      <c r="T35" t="str">
        <f t="shared" ref="T35:T37" si="10">IF($R25&lt;=MIN($R$24:$R$27),$R25," ")</f>
        <v xml:space="preserve"> </v>
      </c>
    </row>
    <row r="36" spans="2:20" x14ac:dyDescent="0.3">
      <c r="B36" t="str">
        <v>Gloves</v>
      </c>
      <c r="C36" s="13">
        <v>8477</v>
      </c>
      <c r="I36" s="17"/>
      <c r="J36" s="17"/>
      <c r="K36" s="19"/>
      <c r="Q36" t="str">
        <v>38-56</v>
      </c>
      <c r="R36" s="7">
        <v>83898</v>
      </c>
      <c r="S36" t="str">
        <f t="shared" si="9"/>
        <v xml:space="preserve"> </v>
      </c>
      <c r="T36" t="str">
        <f t="shared" si="10"/>
        <v xml:space="preserve"> </v>
      </c>
    </row>
    <row r="37" spans="2:20" x14ac:dyDescent="0.3">
      <c r="B37" t="str">
        <v>Sneakers</v>
      </c>
      <c r="C37" s="13">
        <v>8635</v>
      </c>
      <c r="I37" s="17"/>
      <c r="J37" s="17"/>
      <c r="K37" s="19"/>
      <c r="Q37" t="str">
        <v>19-37</v>
      </c>
      <c r="R37" s="7">
        <v>84081</v>
      </c>
      <c r="S37">
        <f t="shared" si="9"/>
        <v>84081</v>
      </c>
      <c r="T37" t="str">
        <f t="shared" si="10"/>
        <v xml:space="preserve"> </v>
      </c>
    </row>
    <row r="38" spans="2:20" x14ac:dyDescent="0.3">
      <c r="B38" t="str">
        <v>Backpack</v>
      </c>
      <c r="C38" s="13">
        <v>8636</v>
      </c>
      <c r="I38" s="17"/>
      <c r="J38" s="17"/>
      <c r="K38" s="19"/>
    </row>
    <row r="39" spans="2:20" x14ac:dyDescent="0.3">
      <c r="B39" t="str">
        <v>Hoodie</v>
      </c>
      <c r="C39" s="13">
        <v>8767</v>
      </c>
      <c r="I39" s="17"/>
      <c r="J39" s="17"/>
      <c r="K39" s="19"/>
    </row>
  </sheetData>
  <mergeCells count="6">
    <mergeCell ref="N5:O5"/>
    <mergeCell ref="W6:X6"/>
    <mergeCell ref="B22:C22"/>
    <mergeCell ref="B6:C6"/>
    <mergeCell ref="E22:F22"/>
    <mergeCell ref="H22:I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43A63-7553-4E76-B75F-48FA96032C6C}">
  <dimension ref="A1:AP46"/>
  <sheetViews>
    <sheetView showGridLines="0" tabSelected="1" zoomScale="80" zoomScaleNormal="80" workbookViewId="0">
      <selection activeCell="AB19" sqref="AB19"/>
    </sheetView>
  </sheetViews>
  <sheetFormatPr defaultRowHeight="14.4" x14ac:dyDescent="0.3"/>
  <cols>
    <col min="13" max="13" width="12" bestFit="1" customWidth="1"/>
  </cols>
  <sheetData>
    <row r="1" spans="1:42"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row>
    <row r="2" spans="1:42"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row>
    <row r="3" spans="1:42"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row>
    <row r="4" spans="1:42"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row>
    <row r="5" spans="1:42"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row>
    <row r="6" spans="1:42"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row>
    <row r="7" spans="1:42"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row>
    <row r="8" spans="1:42"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row>
    <row r="9" spans="1:42"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row>
    <row r="10" spans="1:42"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row>
    <row r="11" spans="1:42"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row>
    <row r="13" spans="1:42"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row>
    <row r="14" spans="1:42"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row>
    <row r="15" spans="1:42"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row>
    <row r="16" spans="1:42"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row>
    <row r="17" spans="1:42"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row>
    <row r="18" spans="1:42"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row>
    <row r="19" spans="1:42"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row>
    <row r="20" spans="1:42"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row>
    <row r="21" spans="1:42"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row>
    <row r="22" spans="1:42"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row>
    <row r="23" spans="1:42"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row>
    <row r="24" spans="1:42"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row>
    <row r="25" spans="1:42"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row>
    <row r="26" spans="1:42"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row>
    <row r="27" spans="1:42"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row>
    <row r="28" spans="1:42" ht="15.6"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row>
    <row r="29" spans="1:42"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row>
    <row r="30" spans="1:42"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row>
    <row r="31" spans="1:42"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row>
    <row r="32" spans="1:42"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row>
    <row r="33" spans="1:42"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row>
    <row r="34" spans="1:42"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row>
    <row r="35" spans="1:42"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row>
    <row r="36" spans="1:42"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row>
    <row r="37" spans="1:42"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row>
    <row r="38" spans="1:42"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row>
    <row r="39" spans="1:42"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row>
    <row r="40" spans="1:42"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row>
    <row r="41" spans="1:42"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row>
    <row r="42" spans="1:42"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row>
    <row r="43" spans="1:42"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row>
    <row r="44" spans="1:42"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row>
    <row r="45" spans="1:42"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row>
    <row r="46" spans="1:42"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6</xdr:col>
                    <xdr:colOff>76200</xdr:colOff>
                    <xdr:row>28</xdr:row>
                    <xdr:rowOff>68580</xdr:rowOff>
                  </from>
                  <to>
                    <xdr:col>7</xdr:col>
                    <xdr:colOff>68580</xdr:colOff>
                    <xdr:row>29</xdr:row>
                    <xdr:rowOff>175260</xdr:rowOff>
                  </to>
                </anchor>
              </controlPr>
            </control>
          </mc:Choice>
        </mc:AlternateContent>
        <mc:AlternateContent xmlns:mc="http://schemas.openxmlformats.org/markup-compatibility/2006">
          <mc:Choice Requires="x14">
            <control shapeId="1029" r:id="rId4" name="Option Button 5">
              <controlPr defaultSize="0" autoFill="0" autoLine="0" autoPict="0">
                <anchor moveWithCells="1">
                  <from>
                    <xdr:col>6</xdr:col>
                    <xdr:colOff>68580</xdr:colOff>
                    <xdr:row>30</xdr:row>
                    <xdr:rowOff>76200</xdr:rowOff>
                  </from>
                  <to>
                    <xdr:col>7</xdr:col>
                    <xdr:colOff>68580</xdr:colOff>
                    <xdr:row>31</xdr:row>
                    <xdr:rowOff>76200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8E4E19-B902-4948-90AE-951A750A2D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shopping_behavior_updated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varmaneha4940@gmail.com</dc:creator>
  <cp:lastModifiedBy>varmaneha4940@gmail.com</cp:lastModifiedBy>
  <dcterms:created xsi:type="dcterms:W3CDTF">2026-08-01T03:35:32Z</dcterms:created>
  <dcterms:modified xsi:type="dcterms:W3CDTF">2026-08-20T14:28:10Z</dcterms:modified>
</cp:coreProperties>
</file>